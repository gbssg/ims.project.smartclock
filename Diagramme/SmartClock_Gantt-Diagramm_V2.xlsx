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codeName="ThisWorkbook"/>
  <xr:revisionPtr revIDLastSave="697" documentId="8_{0C4EAEB1-A5C4-4402-980F-B32D81185735}" xr6:coauthVersionLast="47" xr6:coauthVersionMax="47" xr10:uidLastSave="{64EE4A6D-F461-4C5D-B572-20DCEA631B00}"/>
  <bookViews>
    <workbookView xWindow="28680" yWindow="-1665" windowWidth="29040" windowHeight="15720" tabRatio="415" activeTab="2" xr2:uid="{00000000-000D-0000-FFFF-FFFF00000000}"/>
  </bookViews>
  <sheets>
    <sheet name="Info" sheetId="12" r:id="rId1"/>
    <sheet name="Hell" sheetId="17" r:id="rId2"/>
    <sheet name="Dunkel" sheetId="16" r:id="rId3"/>
    <sheet name="Farbe" sheetId="18" r:id="rId4"/>
  </sheets>
  <definedNames>
    <definedName name="_xlnm.Print_Titles" localSheetId="2">Dunkel!$6:$9</definedName>
    <definedName name="_xlnm.Print_Titles" localSheetId="3">Farbe!$6:$9</definedName>
    <definedName name="_xlnm.Print_Titles" localSheetId="1">Hell!$6:$9</definedName>
    <definedName name="Heute" localSheetId="2">TODAY()</definedName>
    <definedName name="Heute" localSheetId="3">TODAY()</definedName>
    <definedName name="Heute" localSheetId="1">TODAY()</definedName>
    <definedName name="Projekt_Start" localSheetId="2">Dunkel!$C$6</definedName>
    <definedName name="Projekt_Start" localSheetId="3">Farbe!$C$6</definedName>
    <definedName name="Projekt_Start" localSheetId="1">Hell!$C$6</definedName>
    <definedName name="Scrollschrittweite" localSheetId="2">Dunkel!$C$7</definedName>
    <definedName name="Scrollschrittweite" localSheetId="3">Farbe!$C$7</definedName>
    <definedName name="Scrollschrittweite" localSheetId="1">Hell!$C$7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M12" i="16" l="1"/>
  <c r="BM13" i="16"/>
  <c r="BM14" i="16"/>
  <c r="BM15" i="16"/>
  <c r="BM16" i="16"/>
  <c r="BM17" i="16"/>
  <c r="BM18" i="16"/>
  <c r="BM19" i="16"/>
  <c r="BM20" i="16"/>
  <c r="BM21" i="16"/>
  <c r="BM22" i="16"/>
  <c r="BM23" i="16"/>
  <c r="BM24" i="16"/>
  <c r="BM25" i="16"/>
  <c r="BM26" i="16"/>
  <c r="BM27" i="16"/>
  <c r="BM28" i="16"/>
  <c r="BM29" i="16"/>
  <c r="BM30" i="16"/>
  <c r="BM31" i="16"/>
  <c r="BM32" i="16"/>
  <c r="BM33" i="16"/>
  <c r="BM34" i="16"/>
  <c r="BM35" i="16"/>
  <c r="BM11" i="16"/>
  <c r="F13" i="18" l="1"/>
  <c r="F12" i="18"/>
  <c r="F24" i="18" l="1"/>
  <c r="F25" i="18" s="1"/>
  <c r="F26" i="18" s="1"/>
  <c r="F15" i="18"/>
  <c r="F18" i="18"/>
  <c r="F19" i="18" s="1"/>
  <c r="F20" i="18" s="1"/>
  <c r="F21" i="18" s="1"/>
  <c r="F16" i="18"/>
  <c r="F28" i="18" s="1"/>
  <c r="F14" i="18"/>
  <c r="F27" i="18" l="1"/>
  <c r="F30" i="18" s="1"/>
  <c r="F31" i="18" s="1"/>
  <c r="F32" i="18" s="1"/>
  <c r="F22" i="18"/>
  <c r="I7" i="17"/>
  <c r="I9" i="17" s="1"/>
  <c r="I35" i="17" l="1"/>
  <c r="I6" i="17"/>
  <c r="C6" i="18" a="1"/>
  <c r="C6" i="18" s="1"/>
  <c r="I7" i="18" s="1"/>
  <c r="I9" i="18" s="1"/>
  <c r="J7" i="17"/>
  <c r="I23" i="17"/>
  <c r="I27" i="17"/>
  <c r="I13" i="17"/>
  <c r="I11" i="17"/>
  <c r="I24" i="17"/>
  <c r="I29" i="17"/>
  <c r="I21" i="17"/>
  <c r="I22" i="17"/>
  <c r="I25" i="17"/>
  <c r="I16" i="17"/>
  <c r="I26" i="17"/>
  <c r="I32" i="17"/>
  <c r="I31" i="17"/>
  <c r="I12" i="17"/>
  <c r="I17" i="17"/>
  <c r="I15" i="17"/>
  <c r="I19" i="17"/>
  <c r="I30" i="17"/>
  <c r="I33" i="17"/>
  <c r="I14" i="17"/>
  <c r="I18" i="17"/>
  <c r="I34" i="17"/>
  <c r="I20" i="17"/>
  <c r="I28" i="17"/>
  <c r="J35" i="17" l="1"/>
  <c r="J9" i="17"/>
  <c r="I26" i="18"/>
  <c r="I6" i="18"/>
  <c r="J15" i="17"/>
  <c r="J28" i="17"/>
  <c r="J14" i="17"/>
  <c r="J32" i="17"/>
  <c r="J16" i="17"/>
  <c r="J26" i="17"/>
  <c r="J24" i="17"/>
  <c r="J20" i="17"/>
  <c r="J18" i="17"/>
  <c r="J33" i="17"/>
  <c r="K7" i="17"/>
  <c r="K35" i="17" s="1"/>
  <c r="J17" i="17"/>
  <c r="J23" i="17"/>
  <c r="J29" i="17"/>
  <c r="J34" i="17"/>
  <c r="J12" i="17"/>
  <c r="J21" i="17"/>
  <c r="J19" i="17"/>
  <c r="J30" i="17"/>
  <c r="J11" i="17"/>
  <c r="J13" i="17"/>
  <c r="J25" i="17"/>
  <c r="J22" i="17"/>
  <c r="J27" i="17"/>
  <c r="J31" i="17"/>
  <c r="I21" i="18"/>
  <c r="I24" i="18"/>
  <c r="I14" i="18"/>
  <c r="I19" i="18"/>
  <c r="I27" i="18"/>
  <c r="I29" i="18"/>
  <c r="I11" i="18"/>
  <c r="I34" i="18"/>
  <c r="I31" i="18"/>
  <c r="J7" i="18"/>
  <c r="J35" i="18" s="1"/>
  <c r="I13" i="18"/>
  <c r="I20" i="18"/>
  <c r="I18" i="18"/>
  <c r="I23" i="18"/>
  <c r="I33" i="18"/>
  <c r="I12" i="18"/>
  <c r="I15" i="18"/>
  <c r="I16" i="18"/>
  <c r="I32" i="18"/>
  <c r="I28" i="18"/>
  <c r="I35" i="18"/>
  <c r="I17" i="18"/>
  <c r="I30" i="18"/>
  <c r="I22" i="18"/>
  <c r="I25" i="18"/>
  <c r="J33" i="18" l="1"/>
  <c r="J9" i="18"/>
  <c r="K33" i="17"/>
  <c r="K9" i="17"/>
  <c r="K24" i="17"/>
  <c r="K18" i="17"/>
  <c r="K28" i="17"/>
  <c r="K13" i="17"/>
  <c r="K31" i="17"/>
  <c r="K12" i="17"/>
  <c r="K22" i="17"/>
  <c r="K11" i="17"/>
  <c r="K21" i="17"/>
  <c r="K34" i="17"/>
  <c r="K20" i="17"/>
  <c r="K17" i="17"/>
  <c r="K30" i="17"/>
  <c r="K19" i="17"/>
  <c r="K25" i="17"/>
  <c r="K26" i="17"/>
  <c r="K23" i="17"/>
  <c r="K32" i="17"/>
  <c r="K14" i="17"/>
  <c r="K15" i="17"/>
  <c r="L7" i="17"/>
  <c r="L12" i="17" s="1"/>
  <c r="K16" i="17"/>
  <c r="K29" i="17"/>
  <c r="K27" i="17"/>
  <c r="J14" i="18"/>
  <c r="J15" i="18"/>
  <c r="J18" i="18"/>
  <c r="J25" i="18"/>
  <c r="J11" i="18"/>
  <c r="K7" i="18"/>
  <c r="J20" i="18"/>
  <c r="J30" i="18"/>
  <c r="J31" i="18"/>
  <c r="J16" i="18"/>
  <c r="J12" i="18"/>
  <c r="J21" i="18"/>
  <c r="J24" i="18"/>
  <c r="J32" i="18"/>
  <c r="J19" i="18"/>
  <c r="J13" i="18"/>
  <c r="J26" i="18"/>
  <c r="J28" i="18"/>
  <c r="J34" i="18"/>
  <c r="J23" i="18"/>
  <c r="J22" i="18"/>
  <c r="J17" i="18"/>
  <c r="J27" i="18"/>
  <c r="J29" i="18"/>
  <c r="K33" i="18" l="1"/>
  <c r="K9" i="18"/>
  <c r="L35" i="17"/>
  <c r="L9" i="17"/>
  <c r="K35" i="18"/>
  <c r="K26" i="18"/>
  <c r="K11" i="18"/>
  <c r="K12" i="18"/>
  <c r="K30" i="18"/>
  <c r="L22" i="17"/>
  <c r="L20" i="17"/>
  <c r="L26" i="17"/>
  <c r="L15" i="17"/>
  <c r="L16" i="17"/>
  <c r="L32" i="17"/>
  <c r="L13" i="17"/>
  <c r="M7" i="17"/>
  <c r="M35" i="17" s="1"/>
  <c r="L17" i="17"/>
  <c r="L33" i="17"/>
  <c r="L19" i="17"/>
  <c r="L24" i="17"/>
  <c r="L29" i="17"/>
  <c r="L18" i="17"/>
  <c r="L25" i="17"/>
  <c r="L21" i="17"/>
  <c r="L30" i="17"/>
  <c r="L34" i="17"/>
  <c r="L14" i="17"/>
  <c r="L11" i="17"/>
  <c r="L23" i="17"/>
  <c r="L27" i="17"/>
  <c r="L28" i="17"/>
  <c r="L31" i="17"/>
  <c r="K21" i="18"/>
  <c r="K20" i="18"/>
  <c r="K31" i="18"/>
  <c r="K18" i="18"/>
  <c r="K24" i="18"/>
  <c r="K25" i="18"/>
  <c r="K27" i="18"/>
  <c r="K34" i="18"/>
  <c r="K13" i="18"/>
  <c r="K14" i="18"/>
  <c r="K16" i="18"/>
  <c r="K22" i="18"/>
  <c r="K28" i="18"/>
  <c r="K32" i="18"/>
  <c r="K15" i="18"/>
  <c r="L7" i="18"/>
  <c r="K19" i="18"/>
  <c r="K17" i="18"/>
  <c r="K23" i="18"/>
  <c r="K29" i="18"/>
  <c r="L35" i="18" l="1"/>
  <c r="L9" i="18"/>
  <c r="M31" i="17"/>
  <c r="M9" i="17"/>
  <c r="M12" i="17"/>
  <c r="M21" i="17"/>
  <c r="M27" i="17"/>
  <c r="M18" i="17"/>
  <c r="M19" i="17"/>
  <c r="M34" i="17"/>
  <c r="M14" i="17"/>
  <c r="M24" i="17"/>
  <c r="M28" i="17"/>
  <c r="M17" i="17"/>
  <c r="M15" i="17"/>
  <c r="M26" i="17"/>
  <c r="M33" i="17"/>
  <c r="M16" i="17"/>
  <c r="M20" i="17"/>
  <c r="M29" i="17"/>
  <c r="M22" i="17"/>
  <c r="M30" i="17"/>
  <c r="N7" i="17"/>
  <c r="M13" i="17"/>
  <c r="M11" i="17"/>
  <c r="M23" i="17"/>
  <c r="M25" i="17"/>
  <c r="M32" i="17"/>
  <c r="L29" i="18"/>
  <c r="L20" i="18"/>
  <c r="L17" i="18"/>
  <c r="L23" i="18"/>
  <c r="L32" i="18"/>
  <c r="M7" i="18"/>
  <c r="L16" i="18"/>
  <c r="L11" i="18"/>
  <c r="L19" i="18"/>
  <c r="L28" i="18"/>
  <c r="L27" i="18"/>
  <c r="L33" i="18"/>
  <c r="L13" i="18"/>
  <c r="L21" i="18"/>
  <c r="L18" i="18"/>
  <c r="L25" i="18"/>
  <c r="L26" i="18"/>
  <c r="L30" i="18"/>
  <c r="L34" i="18"/>
  <c r="L14" i="18"/>
  <c r="L12" i="18"/>
  <c r="L24" i="18"/>
  <c r="L15" i="18"/>
  <c r="L22" i="18"/>
  <c r="L31" i="18"/>
  <c r="M31" i="18" l="1"/>
  <c r="M9" i="18"/>
  <c r="N35" i="17"/>
  <c r="N9" i="17"/>
  <c r="M35" i="18"/>
  <c r="N11" i="17"/>
  <c r="N17" i="17"/>
  <c r="N21" i="17"/>
  <c r="N29" i="17"/>
  <c r="N15" i="17"/>
  <c r="N23" i="17"/>
  <c r="N32" i="17"/>
  <c r="N25" i="17"/>
  <c r="O7" i="17"/>
  <c r="N26" i="17"/>
  <c r="N19" i="17"/>
  <c r="N33" i="17"/>
  <c r="N12" i="17"/>
  <c r="N14" i="17"/>
  <c r="N28" i="17"/>
  <c r="M33" i="18"/>
  <c r="N16" i="17"/>
  <c r="N13" i="17"/>
  <c r="N18" i="17"/>
  <c r="N24" i="17"/>
  <c r="N30" i="17"/>
  <c r="N34" i="17"/>
  <c r="N20" i="17"/>
  <c r="N22" i="17"/>
  <c r="N27" i="17"/>
  <c r="N31" i="17"/>
  <c r="M21" i="18"/>
  <c r="M22" i="18"/>
  <c r="M12" i="18"/>
  <c r="M28" i="18"/>
  <c r="M13" i="18"/>
  <c r="M29" i="18"/>
  <c r="M11" i="18"/>
  <c r="M18" i="18"/>
  <c r="M25" i="18"/>
  <c r="M20" i="18"/>
  <c r="M24" i="18"/>
  <c r="M30" i="18"/>
  <c r="M15" i="18"/>
  <c r="M16" i="18"/>
  <c r="M23" i="18"/>
  <c r="M14" i="18"/>
  <c r="M32" i="18"/>
  <c r="M26" i="18"/>
  <c r="N7" i="18"/>
  <c r="M17" i="18"/>
  <c r="M27" i="18"/>
  <c r="M19" i="18"/>
  <c r="M34" i="18"/>
  <c r="N35" i="18" l="1"/>
  <c r="N9" i="18"/>
  <c r="O33" i="17"/>
  <c r="O9" i="17"/>
  <c r="O12" i="17"/>
  <c r="O30" i="17"/>
  <c r="O34" i="17"/>
  <c r="O20" i="17"/>
  <c r="O16" i="17"/>
  <c r="O22" i="17"/>
  <c r="O11" i="17"/>
  <c r="O19" i="17"/>
  <c r="O25" i="17"/>
  <c r="O17" i="17"/>
  <c r="O23" i="17"/>
  <c r="O31" i="17"/>
  <c r="O35" i="17"/>
  <c r="O15" i="17"/>
  <c r="O24" i="17"/>
  <c r="O26" i="17"/>
  <c r="O21" i="17"/>
  <c r="O29" i="17"/>
  <c r="O32" i="17"/>
  <c r="O14" i="17"/>
  <c r="P7" i="17"/>
  <c r="P9" i="17" s="1"/>
  <c r="O13" i="17"/>
  <c r="O28" i="17"/>
  <c r="O18" i="17"/>
  <c r="O27" i="17"/>
  <c r="N21" i="18"/>
  <c r="N22" i="18"/>
  <c r="N12" i="18"/>
  <c r="N29" i="18"/>
  <c r="N14" i="18"/>
  <c r="N25" i="18"/>
  <c r="N16" i="18"/>
  <c r="N26" i="18"/>
  <c r="N32" i="18"/>
  <c r="N15" i="18"/>
  <c r="N27" i="18"/>
  <c r="N33" i="18"/>
  <c r="N11" i="18"/>
  <c r="N19" i="18"/>
  <c r="N20" i="18"/>
  <c r="N23" i="18"/>
  <c r="N24" i="18"/>
  <c r="N30" i="18"/>
  <c r="N34" i="18"/>
  <c r="O7" i="18"/>
  <c r="N13" i="18"/>
  <c r="N17" i="18"/>
  <c r="N18" i="18"/>
  <c r="N28" i="18"/>
  <c r="N31" i="18"/>
  <c r="O32" i="18" l="1"/>
  <c r="O9" i="18"/>
  <c r="P33" i="17"/>
  <c r="P6" i="17"/>
  <c r="P15" i="17"/>
  <c r="P30" i="17"/>
  <c r="P12" i="17"/>
  <c r="P34" i="17"/>
  <c r="P25" i="17"/>
  <c r="P23" i="17"/>
  <c r="P27" i="17"/>
  <c r="P14" i="17"/>
  <c r="P18" i="17"/>
  <c r="P19" i="17"/>
  <c r="P16" i="17"/>
  <c r="P28" i="17"/>
  <c r="P31" i="17"/>
  <c r="P35" i="17"/>
  <c r="P22" i="17"/>
  <c r="P24" i="17"/>
  <c r="P17" i="17"/>
  <c r="P29" i="17"/>
  <c r="P32" i="17"/>
  <c r="P13" i="17"/>
  <c r="P11" i="17"/>
  <c r="Q7" i="17"/>
  <c r="P20" i="17"/>
  <c r="P21" i="17"/>
  <c r="P26" i="17"/>
  <c r="O13" i="18"/>
  <c r="O23" i="18"/>
  <c r="P7" i="18"/>
  <c r="P9" i="18" s="1"/>
  <c r="O29" i="18"/>
  <c r="O19" i="18"/>
  <c r="O33" i="18"/>
  <c r="O21" i="18"/>
  <c r="O20" i="18"/>
  <c r="O25" i="18"/>
  <c r="O27" i="18"/>
  <c r="O30" i="18"/>
  <c r="O34" i="18"/>
  <c r="O11" i="18"/>
  <c r="O15" i="18"/>
  <c r="O16" i="18"/>
  <c r="O26" i="18"/>
  <c r="O24" i="18"/>
  <c r="O31" i="18"/>
  <c r="O35" i="18"/>
  <c r="O12" i="18"/>
  <c r="O18" i="18"/>
  <c r="O14" i="18"/>
  <c r="O17" i="18"/>
  <c r="O22" i="18"/>
  <c r="O28" i="18"/>
  <c r="P35" i="18" l="1"/>
  <c r="Q32" i="17"/>
  <c r="Q9" i="17"/>
  <c r="P33" i="18"/>
  <c r="P6" i="18"/>
  <c r="Q34" i="17"/>
  <c r="P34" i="18"/>
  <c r="Q18" i="17"/>
  <c r="Q19" i="17"/>
  <c r="Q13" i="17"/>
  <c r="Q20" i="17"/>
  <c r="Q17" i="17"/>
  <c r="Q28" i="17"/>
  <c r="Q21" i="17"/>
  <c r="Q22" i="17"/>
  <c r="Q24" i="17"/>
  <c r="Q25" i="17"/>
  <c r="Q29" i="17"/>
  <c r="Q14" i="17"/>
  <c r="Q11" i="17"/>
  <c r="Q23" i="17"/>
  <c r="Q26" i="17"/>
  <c r="Q31" i="17"/>
  <c r="Q30" i="17"/>
  <c r="Q12" i="17"/>
  <c r="R7" i="17"/>
  <c r="Q16" i="17"/>
  <c r="Q15" i="17"/>
  <c r="Q35" i="17"/>
  <c r="Q33" i="17"/>
  <c r="Q27" i="17"/>
  <c r="P14" i="18"/>
  <c r="P21" i="18"/>
  <c r="P13" i="18"/>
  <c r="P26" i="18"/>
  <c r="Q7" i="18"/>
  <c r="P22" i="18"/>
  <c r="P16" i="18"/>
  <c r="P29" i="18"/>
  <c r="P30" i="18"/>
  <c r="P25" i="18"/>
  <c r="P15" i="18"/>
  <c r="P31" i="18"/>
  <c r="P28" i="18"/>
  <c r="P12" i="18"/>
  <c r="P18" i="18"/>
  <c r="P20" i="18"/>
  <c r="P23" i="18"/>
  <c r="P32" i="18"/>
  <c r="P17" i="18"/>
  <c r="P11" i="18"/>
  <c r="P19" i="18"/>
  <c r="P24" i="18"/>
  <c r="P27" i="18"/>
  <c r="Q34" i="18" l="1"/>
  <c r="Q9" i="18"/>
  <c r="R33" i="17"/>
  <c r="R9" i="17"/>
  <c r="R21" i="17"/>
  <c r="R19" i="17"/>
  <c r="S7" i="17"/>
  <c r="S20" i="17" s="1"/>
  <c r="R28" i="17"/>
  <c r="R13" i="17"/>
  <c r="R34" i="17"/>
  <c r="R11" i="17"/>
  <c r="R12" i="17"/>
  <c r="R14" i="17"/>
  <c r="R18" i="17"/>
  <c r="R24" i="17"/>
  <c r="R30" i="17"/>
  <c r="R35" i="17"/>
  <c r="R25" i="17"/>
  <c r="R16" i="17"/>
  <c r="R22" i="17"/>
  <c r="R26" i="17"/>
  <c r="R31" i="17"/>
  <c r="R15" i="17"/>
  <c r="R20" i="17"/>
  <c r="R17" i="17"/>
  <c r="R23" i="17"/>
  <c r="R27" i="17"/>
  <c r="R32" i="17"/>
  <c r="Q35" i="18"/>
  <c r="R29" i="17"/>
  <c r="Q20" i="18"/>
  <c r="Q23" i="18"/>
  <c r="Q24" i="18"/>
  <c r="Q30" i="18"/>
  <c r="Q21" i="18"/>
  <c r="Q26" i="18"/>
  <c r="Q15" i="18"/>
  <c r="Q33" i="18"/>
  <c r="Q29" i="18"/>
  <c r="Q13" i="18"/>
  <c r="Q14" i="18"/>
  <c r="Q25" i="18"/>
  <c r="R7" i="18"/>
  <c r="Q16" i="18"/>
  <c r="Q18" i="18"/>
  <c r="Q19" i="18"/>
  <c r="Q31" i="18"/>
  <c r="Q32" i="18"/>
  <c r="Q12" i="18"/>
  <c r="Q11" i="18"/>
  <c r="Q17" i="18"/>
  <c r="Q27" i="18"/>
  <c r="Q22" i="18"/>
  <c r="Q28" i="18"/>
  <c r="R34" i="18" l="1"/>
  <c r="R9" i="18"/>
  <c r="S32" i="17"/>
  <c r="S9" i="17"/>
  <c r="S16" i="17"/>
  <c r="S30" i="17"/>
  <c r="S25" i="17"/>
  <c r="S15" i="17"/>
  <c r="S27" i="17"/>
  <c r="T7" i="17"/>
  <c r="T33" i="17" s="1"/>
  <c r="S14" i="17"/>
  <c r="S28" i="17"/>
  <c r="S33" i="17"/>
  <c r="S19" i="17"/>
  <c r="S12" i="17"/>
  <c r="S18" i="17"/>
  <c r="S34" i="17"/>
  <c r="S17" i="17"/>
  <c r="S26" i="17"/>
  <c r="S13" i="17"/>
  <c r="S22" i="17"/>
  <c r="S31" i="17"/>
  <c r="S35" i="17"/>
  <c r="S11" i="17"/>
  <c r="S29" i="17"/>
  <c r="S24" i="17"/>
  <c r="S21" i="17"/>
  <c r="S23" i="17"/>
  <c r="R15" i="18"/>
  <c r="R16" i="18"/>
  <c r="R28" i="18"/>
  <c r="R22" i="18"/>
  <c r="R35" i="18"/>
  <c r="R11" i="18"/>
  <c r="R24" i="18"/>
  <c r="R12" i="18"/>
  <c r="R21" i="18"/>
  <c r="R31" i="18"/>
  <c r="R23" i="18"/>
  <c r="R18" i="18"/>
  <c r="R32" i="18"/>
  <c r="R14" i="18"/>
  <c r="R13" i="18"/>
  <c r="R20" i="18"/>
  <c r="R27" i="18"/>
  <c r="R29" i="18"/>
  <c r="R33" i="18"/>
  <c r="R26" i="18"/>
  <c r="S7" i="18"/>
  <c r="R19" i="18"/>
  <c r="R17" i="18"/>
  <c r="R30" i="18"/>
  <c r="R25" i="18"/>
  <c r="T18" i="17" l="1"/>
  <c r="T15" i="17"/>
  <c r="S35" i="18"/>
  <c r="S9" i="18"/>
  <c r="T32" i="17"/>
  <c r="T9" i="17"/>
  <c r="T17" i="17"/>
  <c r="T23" i="17"/>
  <c r="T26" i="17"/>
  <c r="T24" i="17"/>
  <c r="T27" i="17"/>
  <c r="T20" i="17"/>
  <c r="T21" i="17"/>
  <c r="T30" i="17"/>
  <c r="T34" i="17"/>
  <c r="T13" i="17"/>
  <c r="U7" i="17"/>
  <c r="U35" i="17" s="1"/>
  <c r="T14" i="17"/>
  <c r="T12" i="17"/>
  <c r="T25" i="17"/>
  <c r="T28" i="17"/>
  <c r="T31" i="17"/>
  <c r="T35" i="17"/>
  <c r="T19" i="17"/>
  <c r="T11" i="17"/>
  <c r="T22" i="17"/>
  <c r="T16" i="17"/>
  <c r="T29" i="17"/>
  <c r="T7" i="18"/>
  <c r="S21" i="18"/>
  <c r="S12" i="18"/>
  <c r="S26" i="18"/>
  <c r="S18" i="18"/>
  <c r="S25" i="18"/>
  <c r="S24" i="18"/>
  <c r="S20" i="18"/>
  <c r="S31" i="18"/>
  <c r="S30" i="18"/>
  <c r="S27" i="18"/>
  <c r="S34" i="18"/>
  <c r="S11" i="18"/>
  <c r="S14" i="18"/>
  <c r="S16" i="18"/>
  <c r="S22" i="18"/>
  <c r="S28" i="18"/>
  <c r="S32" i="18"/>
  <c r="S15" i="18"/>
  <c r="S13" i="18"/>
  <c r="S19" i="18"/>
  <c r="S17" i="18"/>
  <c r="S23" i="18"/>
  <c r="S29" i="18"/>
  <c r="S33" i="18"/>
  <c r="U31" i="17" l="1"/>
  <c r="T32" i="18"/>
  <c r="T9" i="18"/>
  <c r="U30" i="17"/>
  <c r="U9" i="17"/>
  <c r="U32" i="17"/>
  <c r="U17" i="17"/>
  <c r="U15" i="17"/>
  <c r="U11" i="17"/>
  <c r="U19" i="17"/>
  <c r="U18" i="17"/>
  <c r="U24" i="17"/>
  <c r="U34" i="17"/>
  <c r="V7" i="17"/>
  <c r="U21" i="17"/>
  <c r="U22" i="17"/>
  <c r="U25" i="17"/>
  <c r="U28" i="17"/>
  <c r="U16" i="17"/>
  <c r="U14" i="17"/>
  <c r="U26" i="17"/>
  <c r="U27" i="17"/>
  <c r="U29" i="17"/>
  <c r="U12" i="17"/>
  <c r="U13" i="17"/>
  <c r="U23" i="17"/>
  <c r="U20" i="17"/>
  <c r="U33" i="17"/>
  <c r="T18" i="18"/>
  <c r="T35" i="18"/>
  <c r="T26" i="18"/>
  <c r="T14" i="18"/>
  <c r="T21" i="18"/>
  <c r="T30" i="18"/>
  <c r="T25" i="18"/>
  <c r="T11" i="18"/>
  <c r="T20" i="18"/>
  <c r="T33" i="18"/>
  <c r="U7" i="18"/>
  <c r="U34" i="18" s="1"/>
  <c r="T28" i="18"/>
  <c r="T23" i="18"/>
  <c r="T13" i="18"/>
  <c r="T12" i="18"/>
  <c r="T17" i="18"/>
  <c r="T19" i="18"/>
  <c r="T29" i="18"/>
  <c r="T27" i="18"/>
  <c r="T34" i="18"/>
  <c r="T16" i="18"/>
  <c r="T24" i="18"/>
  <c r="T15" i="18"/>
  <c r="T22" i="18"/>
  <c r="T31" i="18"/>
  <c r="U32" i="18" l="1"/>
  <c r="U9" i="18"/>
  <c r="V33" i="17"/>
  <c r="V9" i="17"/>
  <c r="V11" i="17"/>
  <c r="V30" i="17"/>
  <c r="V16" i="17"/>
  <c r="V34" i="17"/>
  <c r="V22" i="17"/>
  <c r="V24" i="17"/>
  <c r="V25" i="17"/>
  <c r="V14" i="17"/>
  <c r="W7" i="17"/>
  <c r="W9" i="17" s="1"/>
  <c r="V28" i="17"/>
  <c r="V15" i="17"/>
  <c r="V17" i="17"/>
  <c r="V23" i="17"/>
  <c r="V27" i="17"/>
  <c r="V31" i="17"/>
  <c r="V35" i="17"/>
  <c r="V13" i="17"/>
  <c r="V21" i="17"/>
  <c r="V26" i="17"/>
  <c r="V32" i="17"/>
  <c r="V12" i="17"/>
  <c r="V20" i="17"/>
  <c r="V18" i="17"/>
  <c r="V19" i="17"/>
  <c r="V29" i="17"/>
  <c r="U22" i="18"/>
  <c r="U14" i="18"/>
  <c r="U12" i="18"/>
  <c r="U29" i="18"/>
  <c r="U25" i="18"/>
  <c r="U13" i="18"/>
  <c r="U16" i="18"/>
  <c r="U23" i="18"/>
  <c r="U19" i="18"/>
  <c r="U31" i="18"/>
  <c r="U30" i="18"/>
  <c r="U11" i="18"/>
  <c r="U15" i="18"/>
  <c r="U17" i="18"/>
  <c r="U18" i="18"/>
  <c r="U27" i="18"/>
  <c r="U33" i="18"/>
  <c r="U26" i="18"/>
  <c r="V7" i="18"/>
  <c r="U20" i="18"/>
  <c r="U21" i="18"/>
  <c r="U24" i="18"/>
  <c r="U28" i="18"/>
  <c r="U35" i="18"/>
  <c r="W23" i="17" l="1"/>
  <c r="W17" i="17"/>
  <c r="W30" i="17"/>
  <c r="W34" i="17"/>
  <c r="W20" i="17"/>
  <c r="X7" i="17"/>
  <c r="X9" i="17" s="1"/>
  <c r="V32" i="18"/>
  <c r="V9" i="18"/>
  <c r="W33" i="17"/>
  <c r="W6" i="17"/>
  <c r="W12" i="17"/>
  <c r="W25" i="17"/>
  <c r="W21" i="17"/>
  <c r="W28" i="17"/>
  <c r="W31" i="17"/>
  <c r="W35" i="17"/>
  <c r="W11" i="17"/>
  <c r="W29" i="17"/>
  <c r="W26" i="17"/>
  <c r="W32" i="17"/>
  <c r="W14" i="17"/>
  <c r="W19" i="17"/>
  <c r="W18" i="17"/>
  <c r="W24" i="17"/>
  <c r="W15" i="17"/>
  <c r="W13" i="17"/>
  <c r="W16" i="17"/>
  <c r="W22" i="17"/>
  <c r="W27" i="17"/>
  <c r="V19" i="18"/>
  <c r="V27" i="18"/>
  <c r="V12" i="18"/>
  <c r="V25" i="18"/>
  <c r="V20" i="18"/>
  <c r="V33" i="18"/>
  <c r="V22" i="18"/>
  <c r="V14" i="18"/>
  <c r="V26" i="18"/>
  <c r="V23" i="18"/>
  <c r="V24" i="18"/>
  <c r="V30" i="18"/>
  <c r="V34" i="18"/>
  <c r="V11" i="18"/>
  <c r="V16" i="18"/>
  <c r="V17" i="18"/>
  <c r="V13" i="18"/>
  <c r="V28" i="18"/>
  <c r="V31" i="18"/>
  <c r="V35" i="18"/>
  <c r="W7" i="18"/>
  <c r="W9" i="18" s="1"/>
  <c r="V15" i="18"/>
  <c r="V21" i="18"/>
  <c r="V18" i="18"/>
  <c r="V29" i="18"/>
  <c r="X30" i="17" l="1"/>
  <c r="X14" i="17"/>
  <c r="X28" i="17"/>
  <c r="X29" i="17"/>
  <c r="X35" i="17"/>
  <c r="X22" i="17"/>
  <c r="X15" i="17"/>
  <c r="X19" i="17"/>
  <c r="X24" i="17"/>
  <c r="X20" i="17"/>
  <c r="X11" i="17"/>
  <c r="X27" i="17"/>
  <c r="X26" i="17"/>
  <c r="X25" i="17"/>
  <c r="Y7" i="17"/>
  <c r="Y9" i="17" s="1"/>
  <c r="X17" i="17"/>
  <c r="X33" i="17"/>
  <c r="X18" i="17"/>
  <c r="X31" i="17"/>
  <c r="X23" i="17"/>
  <c r="X16" i="17"/>
  <c r="X32" i="17"/>
  <c r="X13" i="17"/>
  <c r="X12" i="17"/>
  <c r="X21" i="17"/>
  <c r="X34" i="17"/>
  <c r="W34" i="18"/>
  <c r="W6" i="18"/>
  <c r="W18" i="18"/>
  <c r="W16" i="18"/>
  <c r="W24" i="18"/>
  <c r="W17" i="18"/>
  <c r="W28" i="18"/>
  <c r="W15" i="18"/>
  <c r="W26" i="18"/>
  <c r="W32" i="18"/>
  <c r="X7" i="18"/>
  <c r="W14" i="18"/>
  <c r="W22" i="18"/>
  <c r="W35" i="18"/>
  <c r="W31" i="18"/>
  <c r="W12" i="18"/>
  <c r="W19" i="18"/>
  <c r="W21" i="18"/>
  <c r="W23" i="18"/>
  <c r="W29" i="18"/>
  <c r="W33" i="18"/>
  <c r="W11" i="18"/>
  <c r="W13" i="18"/>
  <c r="W20" i="18"/>
  <c r="W25" i="18"/>
  <c r="W27" i="18"/>
  <c r="W30" i="18"/>
  <c r="Y21" i="17" l="1"/>
  <c r="Y26" i="17"/>
  <c r="Y11" i="17"/>
  <c r="Y32" i="17"/>
  <c r="Y29" i="17"/>
  <c r="Y17" i="17"/>
  <c r="Y22" i="17"/>
  <c r="Y15" i="17"/>
  <c r="Y31" i="17"/>
  <c r="Y19" i="17"/>
  <c r="Y13" i="17"/>
  <c r="Y34" i="17"/>
  <c r="Y14" i="17"/>
  <c r="Y20" i="17"/>
  <c r="Y16" i="17"/>
  <c r="Y24" i="17"/>
  <c r="Y33" i="17"/>
  <c r="Y12" i="17"/>
  <c r="Y30" i="17"/>
  <c r="Y28" i="17"/>
  <c r="Z7" i="17"/>
  <c r="Z9" i="17" s="1"/>
  <c r="Y18" i="17"/>
  <c r="Y25" i="17"/>
  <c r="Y35" i="17"/>
  <c r="Y23" i="17"/>
  <c r="Y27" i="17"/>
  <c r="X33" i="18"/>
  <c r="X9" i="18"/>
  <c r="X13" i="18"/>
  <c r="X26" i="18"/>
  <c r="X30" i="18"/>
  <c r="X17" i="18"/>
  <c r="X11" i="18"/>
  <c r="X34" i="18"/>
  <c r="X28" i="18"/>
  <c r="X16" i="18"/>
  <c r="X15" i="18"/>
  <c r="X31" i="18"/>
  <c r="X35" i="18"/>
  <c r="X25" i="18"/>
  <c r="X29" i="18"/>
  <c r="X18" i="18"/>
  <c r="X20" i="18"/>
  <c r="X23" i="18"/>
  <c r="X32" i="18"/>
  <c r="X21" i="18"/>
  <c r="X14" i="18"/>
  <c r="X22" i="18"/>
  <c r="Y7" i="18"/>
  <c r="X12" i="18"/>
  <c r="X19" i="18"/>
  <c r="X24" i="18"/>
  <c r="X27" i="18"/>
  <c r="Z31" i="17" l="1"/>
  <c r="Z32" i="17"/>
  <c r="Z33" i="17"/>
  <c r="Z14" i="17"/>
  <c r="Z13" i="17"/>
  <c r="Z16" i="17"/>
  <c r="Z21" i="17"/>
  <c r="Z23" i="17"/>
  <c r="Z24" i="17"/>
  <c r="Z19" i="17"/>
  <c r="Z20" i="17"/>
  <c r="Z28" i="17"/>
  <c r="Z11" i="17"/>
  <c r="Z25" i="17"/>
  <c r="Z27" i="17"/>
  <c r="Z35" i="17"/>
  <c r="Z18" i="17"/>
  <c r="Z29" i="17"/>
  <c r="AA7" i="17"/>
  <c r="AA9" i="17" s="1"/>
  <c r="Z12" i="17"/>
  <c r="Z22" i="17"/>
  <c r="Z30" i="17"/>
  <c r="Z15" i="17"/>
  <c r="Z17" i="17"/>
  <c r="Z26" i="17"/>
  <c r="Z34" i="17"/>
  <c r="Y31" i="18"/>
  <c r="Y9" i="18"/>
  <c r="Y20" i="18"/>
  <c r="Y19" i="18"/>
  <c r="Y23" i="18"/>
  <c r="Y27" i="18"/>
  <c r="Y16" i="18"/>
  <c r="Y28" i="18"/>
  <c r="Y12" i="18"/>
  <c r="Y21" i="18"/>
  <c r="Y26" i="18"/>
  <c r="Y11" i="18"/>
  <c r="Y34" i="18"/>
  <c r="Y25" i="18"/>
  <c r="Y33" i="18"/>
  <c r="Z7" i="18"/>
  <c r="Y24" i="18"/>
  <c r="Y30" i="18"/>
  <c r="Y18" i="18"/>
  <c r="Y22" i="18"/>
  <c r="Y29" i="18"/>
  <c r="Y35" i="18"/>
  <c r="Y13" i="18"/>
  <c r="Y15" i="18"/>
  <c r="Y17" i="18"/>
  <c r="Y14" i="18"/>
  <c r="Y32" i="18"/>
  <c r="AA12" i="17" l="1"/>
  <c r="AA23" i="17"/>
  <c r="AA27" i="17"/>
  <c r="AA13" i="17"/>
  <c r="AA20" i="17"/>
  <c r="AA30" i="17"/>
  <c r="AA17" i="17"/>
  <c r="AA32" i="17"/>
  <c r="AA24" i="17"/>
  <c r="AA14" i="17"/>
  <c r="AA29" i="17"/>
  <c r="AA34" i="17"/>
  <c r="AA28" i="17"/>
  <c r="AA18" i="17"/>
  <c r="AA35" i="17"/>
  <c r="AA16" i="17"/>
  <c r="AA11" i="17"/>
  <c r="AA33" i="17"/>
  <c r="AB7" i="17"/>
  <c r="AB9" i="17" s="1"/>
  <c r="AA22" i="17"/>
  <c r="AA19" i="17"/>
  <c r="AA21" i="17"/>
  <c r="AA31" i="17"/>
  <c r="AA15" i="17"/>
  <c r="AA25" i="17"/>
  <c r="AA26" i="17"/>
  <c r="Z34" i="18"/>
  <c r="Z9" i="18"/>
  <c r="Z35" i="18"/>
  <c r="Z28" i="18"/>
  <c r="Z16" i="18"/>
  <c r="Z20" i="18"/>
  <c r="Z23" i="18"/>
  <c r="Z33" i="18"/>
  <c r="Z27" i="18"/>
  <c r="Z22" i="18"/>
  <c r="Z21" i="18"/>
  <c r="Z25" i="18"/>
  <c r="Z12" i="18"/>
  <c r="Z13" i="18"/>
  <c r="Z31" i="18"/>
  <c r="Z19" i="18"/>
  <c r="Z14" i="18"/>
  <c r="Z17" i="18"/>
  <c r="Z18" i="18"/>
  <c r="Z29" i="18"/>
  <c r="Z32" i="18"/>
  <c r="Z11" i="18"/>
  <c r="AA7" i="18"/>
  <c r="Z15" i="18"/>
  <c r="Z26" i="18"/>
  <c r="Z24" i="18"/>
  <c r="Z30" i="18"/>
  <c r="AB14" i="17" l="1"/>
  <c r="AB19" i="17"/>
  <c r="AB30" i="17"/>
  <c r="AB22" i="17"/>
  <c r="AB20" i="17"/>
  <c r="AB25" i="17"/>
  <c r="AB26" i="17"/>
  <c r="AB11" i="17"/>
  <c r="AB33" i="17"/>
  <c r="AB27" i="17"/>
  <c r="AB31" i="17"/>
  <c r="AB16" i="17"/>
  <c r="AC7" i="17"/>
  <c r="AC9" i="17" s="1"/>
  <c r="AB13" i="17"/>
  <c r="AB12" i="17"/>
  <c r="AB21" i="17"/>
  <c r="AB34" i="17"/>
  <c r="AB15" i="17"/>
  <c r="AB32" i="17"/>
  <c r="AB17" i="17"/>
  <c r="AB18" i="17"/>
  <c r="AB23" i="17"/>
  <c r="AB28" i="17"/>
  <c r="AB35" i="17"/>
  <c r="AB24" i="17"/>
  <c r="AB29" i="17"/>
  <c r="AA35" i="18"/>
  <c r="AA9" i="18"/>
  <c r="AA14" i="18"/>
  <c r="AA16" i="18"/>
  <c r="AA32" i="18"/>
  <c r="AA22" i="18"/>
  <c r="AA13" i="18"/>
  <c r="AA28" i="18"/>
  <c r="AA15" i="18"/>
  <c r="AB7" i="18"/>
  <c r="AA19" i="18"/>
  <c r="AA17" i="18"/>
  <c r="AA23" i="18"/>
  <c r="AA29" i="18"/>
  <c r="AA33" i="18"/>
  <c r="AA12" i="18"/>
  <c r="AA25" i="18"/>
  <c r="AA21" i="18"/>
  <c r="AA27" i="18"/>
  <c r="AA30" i="18"/>
  <c r="AA34" i="18"/>
  <c r="AA11" i="18"/>
  <c r="AA18" i="18"/>
  <c r="AA20" i="18"/>
  <c r="AA26" i="18"/>
  <c r="AA24" i="18"/>
  <c r="AA31" i="18"/>
  <c r="AC21" i="17" l="1"/>
  <c r="AC16" i="17"/>
  <c r="AC30" i="17"/>
  <c r="AC32" i="17"/>
  <c r="AC20" i="17"/>
  <c r="AD7" i="17"/>
  <c r="AD9" i="17" s="1"/>
  <c r="AC11" i="17"/>
  <c r="AC25" i="17"/>
  <c r="AC17" i="17"/>
  <c r="AC15" i="17"/>
  <c r="AC27" i="17"/>
  <c r="AC35" i="17"/>
  <c r="AC22" i="17"/>
  <c r="AC28" i="17"/>
  <c r="AC13" i="17"/>
  <c r="AC23" i="17"/>
  <c r="AC34" i="17"/>
  <c r="AC18" i="17"/>
  <c r="AC19" i="17"/>
  <c r="AC14" i="17"/>
  <c r="AC24" i="17"/>
  <c r="AC29" i="17"/>
  <c r="AC12" i="17"/>
  <c r="AC26" i="17"/>
  <c r="AC31" i="17"/>
  <c r="AC33" i="17"/>
  <c r="AB33" i="18"/>
  <c r="AB9" i="18"/>
  <c r="AB21" i="18"/>
  <c r="AB30" i="18"/>
  <c r="AB18" i="18"/>
  <c r="AB34" i="18"/>
  <c r="AB25" i="18"/>
  <c r="AB14" i="18"/>
  <c r="AB26" i="18"/>
  <c r="AB17" i="18"/>
  <c r="AB24" i="18"/>
  <c r="AB15" i="18"/>
  <c r="AB22" i="18"/>
  <c r="AB31" i="18"/>
  <c r="AB35" i="18"/>
  <c r="AC7" i="18"/>
  <c r="AB11" i="18"/>
  <c r="AB29" i="18"/>
  <c r="AB20" i="18"/>
  <c r="AB23" i="18"/>
  <c r="AB32" i="18"/>
  <c r="AB12" i="18"/>
  <c r="AB16" i="18"/>
  <c r="AB13" i="18"/>
  <c r="AB19" i="18"/>
  <c r="AB28" i="18"/>
  <c r="AB27" i="18"/>
  <c r="AD35" i="17" l="1"/>
  <c r="AD21" i="17"/>
  <c r="AD14" i="17"/>
  <c r="AD28" i="17"/>
  <c r="AD15" i="17"/>
  <c r="AE7" i="17"/>
  <c r="AE9" i="17" s="1"/>
  <c r="AD27" i="17"/>
  <c r="AD18" i="17"/>
  <c r="AD22" i="17"/>
  <c r="AD20" i="17"/>
  <c r="AD32" i="17"/>
  <c r="AD25" i="17"/>
  <c r="AD24" i="17"/>
  <c r="AD33" i="17"/>
  <c r="AD11" i="17"/>
  <c r="AD13" i="17"/>
  <c r="AD26" i="17"/>
  <c r="AD34" i="17"/>
  <c r="AD12" i="17"/>
  <c r="AD16" i="17"/>
  <c r="AD30" i="17"/>
  <c r="AD17" i="17"/>
  <c r="AD23" i="17"/>
  <c r="AD31" i="17"/>
  <c r="AD6" i="17"/>
  <c r="AD29" i="17"/>
  <c r="AD19" i="17"/>
  <c r="AC33" i="18"/>
  <c r="AC9" i="18"/>
  <c r="AC29" i="18"/>
  <c r="AC35" i="18"/>
  <c r="AC15" i="18"/>
  <c r="AC25" i="18"/>
  <c r="AC22" i="18"/>
  <c r="AC24" i="18"/>
  <c r="AC11" i="18"/>
  <c r="AC16" i="18"/>
  <c r="AC23" i="18"/>
  <c r="AC14" i="18"/>
  <c r="AC30" i="18"/>
  <c r="AC26" i="18"/>
  <c r="AD7" i="18"/>
  <c r="AD9" i="18" s="1"/>
  <c r="AC13" i="18"/>
  <c r="AC17" i="18"/>
  <c r="AC27" i="18"/>
  <c r="AC19" i="18"/>
  <c r="AC32" i="18"/>
  <c r="AC31" i="18"/>
  <c r="AC12" i="18"/>
  <c r="AC20" i="18"/>
  <c r="AC21" i="18"/>
  <c r="AC18" i="18"/>
  <c r="AC28" i="18"/>
  <c r="AC34" i="18"/>
  <c r="AE13" i="17" l="1"/>
  <c r="AE28" i="17"/>
  <c r="AE29" i="17"/>
  <c r="AE26" i="17"/>
  <c r="AE33" i="17"/>
  <c r="AE11" i="17"/>
  <c r="AE15" i="17"/>
  <c r="AE35" i="17"/>
  <c r="AE25" i="17"/>
  <c r="AE22" i="17"/>
  <c r="AF7" i="17"/>
  <c r="AF9" i="17" s="1"/>
  <c r="AE16" i="17"/>
  <c r="AE19" i="17"/>
  <c r="AE21" i="17"/>
  <c r="AE31" i="17"/>
  <c r="AE24" i="17"/>
  <c r="AE18" i="17"/>
  <c r="AE32" i="17"/>
  <c r="AE14" i="17"/>
  <c r="AE20" i="17"/>
  <c r="AE23" i="17"/>
  <c r="AE34" i="17"/>
  <c r="AE27" i="17"/>
  <c r="AE12" i="17"/>
  <c r="AE17" i="17"/>
  <c r="AE30" i="17"/>
  <c r="AD35" i="18"/>
  <c r="AD6" i="18"/>
  <c r="AD14" i="18"/>
  <c r="AD22" i="18"/>
  <c r="AD29" i="18"/>
  <c r="AD15" i="18"/>
  <c r="AD32" i="18"/>
  <c r="AD26" i="18"/>
  <c r="AD11" i="18"/>
  <c r="AD19" i="18"/>
  <c r="AD20" i="18"/>
  <c r="AD23" i="18"/>
  <c r="AD27" i="18"/>
  <c r="AD25" i="18"/>
  <c r="AD33" i="18"/>
  <c r="AE7" i="18"/>
  <c r="AD17" i="18"/>
  <c r="AD13" i="18"/>
  <c r="AD24" i="18"/>
  <c r="AD30" i="18"/>
  <c r="AD34" i="18"/>
  <c r="AD12" i="18"/>
  <c r="AD16" i="18"/>
  <c r="AD21" i="18"/>
  <c r="AD18" i="18"/>
  <c r="AD28" i="18"/>
  <c r="AD31" i="18"/>
  <c r="AF23" i="17" l="1"/>
  <c r="AF25" i="17"/>
  <c r="AF29" i="17"/>
  <c r="AF21" i="17"/>
  <c r="AF18" i="17"/>
  <c r="AF15" i="17"/>
  <c r="AF11" i="17"/>
  <c r="AF26" i="17"/>
  <c r="AF30" i="17"/>
  <c r="AF12" i="17"/>
  <c r="AF33" i="17"/>
  <c r="AF20" i="17"/>
  <c r="AF22" i="17"/>
  <c r="AF16" i="17"/>
  <c r="AG7" i="17"/>
  <c r="AG9" i="17" s="1"/>
  <c r="AF17" i="17"/>
  <c r="AF32" i="17"/>
  <c r="AF34" i="17"/>
  <c r="AF13" i="17"/>
  <c r="AF19" i="17"/>
  <c r="AF27" i="17"/>
  <c r="AF14" i="17"/>
  <c r="AF24" i="17"/>
  <c r="AF28" i="17"/>
  <c r="AF35" i="17"/>
  <c r="AF31" i="17"/>
  <c r="AE35" i="18"/>
  <c r="AE9" i="18"/>
  <c r="AE14" i="18"/>
  <c r="AE17" i="18"/>
  <c r="AE32" i="18"/>
  <c r="AE22" i="18"/>
  <c r="AE11" i="18"/>
  <c r="AE28" i="18"/>
  <c r="AE13" i="18"/>
  <c r="AF7" i="18"/>
  <c r="AE19" i="18"/>
  <c r="AE21" i="18"/>
  <c r="AE23" i="18"/>
  <c r="AE29" i="18"/>
  <c r="AE33" i="18"/>
  <c r="AE18" i="18"/>
  <c r="AE12" i="18"/>
  <c r="AE20" i="18"/>
  <c r="AE25" i="18"/>
  <c r="AE27" i="18"/>
  <c r="AE30" i="18"/>
  <c r="AE34" i="18"/>
  <c r="AE15" i="18"/>
  <c r="AE16" i="18"/>
  <c r="AE26" i="18"/>
  <c r="AE24" i="18"/>
  <c r="AE31" i="18"/>
  <c r="AG26" i="17" l="1"/>
  <c r="AG16" i="17"/>
  <c r="AG17" i="17"/>
  <c r="AG33" i="17"/>
  <c r="AG27" i="17"/>
  <c r="AG15" i="17"/>
  <c r="AG13" i="17"/>
  <c r="AG30" i="17"/>
  <c r="AG11" i="17"/>
  <c r="AG23" i="17"/>
  <c r="AG32" i="17"/>
  <c r="AG12" i="17"/>
  <c r="AG24" i="17"/>
  <c r="AG31" i="17"/>
  <c r="AG35" i="17"/>
  <c r="AG14" i="17"/>
  <c r="AG19" i="17"/>
  <c r="AG28" i="17"/>
  <c r="AG29" i="17"/>
  <c r="AH7" i="17"/>
  <c r="AH9" i="17" s="1"/>
  <c r="AG18" i="17"/>
  <c r="AG20" i="17"/>
  <c r="AG34" i="17"/>
  <c r="AG21" i="17"/>
  <c r="AG22" i="17"/>
  <c r="AG25" i="17"/>
  <c r="AF32" i="18"/>
  <c r="AF9" i="18"/>
  <c r="AF24" i="18"/>
  <c r="AF33" i="18"/>
  <c r="AF28" i="18"/>
  <c r="AF11" i="18"/>
  <c r="AF16" i="18"/>
  <c r="AF14" i="18"/>
  <c r="AF26" i="18"/>
  <c r="AF34" i="18"/>
  <c r="AF25" i="18"/>
  <c r="AF19" i="18"/>
  <c r="AF27" i="18"/>
  <c r="AG7" i="18"/>
  <c r="AF29" i="18"/>
  <c r="AF30" i="18"/>
  <c r="AF13" i="18"/>
  <c r="AF12" i="18"/>
  <c r="AF21" i="18"/>
  <c r="AF15" i="18"/>
  <c r="AF22" i="18"/>
  <c r="AF31" i="18"/>
  <c r="AF35" i="18"/>
  <c r="AF17" i="18"/>
  <c r="AF18" i="18"/>
  <c r="AF20" i="18"/>
  <c r="AF23" i="18"/>
  <c r="AI7" i="17" l="1"/>
  <c r="AI9" i="17" s="1"/>
  <c r="AH12" i="17"/>
  <c r="AH24" i="17"/>
  <c r="AH26" i="17"/>
  <c r="AH14" i="17"/>
  <c r="AH28" i="17"/>
  <c r="AH20" i="17"/>
  <c r="AH27" i="17"/>
  <c r="AH16" i="17"/>
  <c r="AH32" i="17"/>
  <c r="AH17" i="17"/>
  <c r="AH34" i="17"/>
  <c r="AH21" i="17"/>
  <c r="AH35" i="17"/>
  <c r="AH11" i="17"/>
  <c r="AH19" i="17"/>
  <c r="AH22" i="17"/>
  <c r="AH25" i="17"/>
  <c r="AH18" i="17"/>
  <c r="AH29" i="17"/>
  <c r="AH13" i="17"/>
  <c r="AH30" i="17"/>
  <c r="AH15" i="17"/>
  <c r="AH23" i="17"/>
  <c r="AH31" i="17"/>
  <c r="AH33" i="17"/>
  <c r="AG26" i="18"/>
  <c r="AG9" i="18"/>
  <c r="AG14" i="18"/>
  <c r="AG30" i="18"/>
  <c r="AG13" i="18"/>
  <c r="AG12" i="18"/>
  <c r="AG16" i="18"/>
  <c r="AG22" i="18"/>
  <c r="AG34" i="18"/>
  <c r="AG15" i="18"/>
  <c r="AG21" i="18"/>
  <c r="AG33" i="18"/>
  <c r="AG27" i="18"/>
  <c r="AG29" i="18"/>
  <c r="AH7" i="18"/>
  <c r="AG31" i="18"/>
  <c r="AG24" i="18"/>
  <c r="AG18" i="18"/>
  <c r="AG19" i="18"/>
  <c r="AG28" i="18"/>
  <c r="AG32" i="18"/>
  <c r="AG20" i="18"/>
  <c r="AG11" i="18"/>
  <c r="AG17" i="18"/>
  <c r="AG35" i="18"/>
  <c r="AG23" i="18"/>
  <c r="AG25" i="18"/>
  <c r="AI13" i="17" l="1"/>
  <c r="AI16" i="17"/>
  <c r="AI22" i="17"/>
  <c r="AI31" i="17"/>
  <c r="AI11" i="17"/>
  <c r="AI29" i="17"/>
  <c r="AI17" i="17"/>
  <c r="AI32" i="17"/>
  <c r="AI34" i="17"/>
  <c r="AJ7" i="17"/>
  <c r="AJ9" i="17" s="1"/>
  <c r="AI21" i="17"/>
  <c r="AI12" i="17"/>
  <c r="AI28" i="17"/>
  <c r="AI35" i="17"/>
  <c r="AI23" i="17"/>
  <c r="AI24" i="17"/>
  <c r="AI27" i="17"/>
  <c r="AI14" i="17"/>
  <c r="AI20" i="17"/>
  <c r="AI19" i="17"/>
  <c r="AI25" i="17"/>
  <c r="AI30" i="17"/>
  <c r="AI15" i="17"/>
  <c r="AI18" i="17"/>
  <c r="AI33" i="17"/>
  <c r="AI26" i="17"/>
  <c r="AH35" i="18"/>
  <c r="AH9" i="18"/>
  <c r="AH18" i="18"/>
  <c r="AH20" i="18"/>
  <c r="AH22" i="18"/>
  <c r="AH29" i="18"/>
  <c r="AH12" i="18"/>
  <c r="AH32" i="18"/>
  <c r="AH14" i="18"/>
  <c r="AH26" i="18"/>
  <c r="AH17" i="18"/>
  <c r="AH27" i="18"/>
  <c r="AH25" i="18"/>
  <c r="AH33" i="18"/>
  <c r="AH11" i="18"/>
  <c r="AH23" i="18"/>
  <c r="AH19" i="18"/>
  <c r="AH21" i="18"/>
  <c r="AH24" i="18"/>
  <c r="AH30" i="18"/>
  <c r="AH34" i="18"/>
  <c r="AH16" i="18"/>
  <c r="AI7" i="18"/>
  <c r="AH15" i="18"/>
  <c r="AH13" i="18"/>
  <c r="AH28" i="18"/>
  <c r="AH31" i="18"/>
  <c r="AJ23" i="17" l="1"/>
  <c r="AJ15" i="17"/>
  <c r="AJ26" i="17"/>
  <c r="AJ11" i="17"/>
  <c r="AJ17" i="17"/>
  <c r="AJ21" i="17"/>
  <c r="AJ33" i="17"/>
  <c r="AJ19" i="17"/>
  <c r="AK7" i="17"/>
  <c r="AK28" i="17" s="1"/>
  <c r="AJ30" i="17"/>
  <c r="AJ12" i="17"/>
  <c r="AJ31" i="17"/>
  <c r="AJ20" i="17"/>
  <c r="AJ34" i="17"/>
  <c r="AJ18" i="17"/>
  <c r="AJ25" i="17"/>
  <c r="AJ27" i="17"/>
  <c r="AJ16" i="17"/>
  <c r="AJ32" i="17"/>
  <c r="AJ13" i="17"/>
  <c r="AJ22" i="17"/>
  <c r="AJ28" i="17"/>
  <c r="AJ35" i="17"/>
  <c r="AJ14" i="17"/>
  <c r="AJ24" i="17"/>
  <c r="AJ29" i="17"/>
  <c r="AI35" i="18"/>
  <c r="AI9" i="18"/>
  <c r="AI16" i="18"/>
  <c r="AI22" i="18"/>
  <c r="AI11" i="18"/>
  <c r="AI28" i="18"/>
  <c r="AI14" i="18"/>
  <c r="AI32" i="18"/>
  <c r="AI15" i="18"/>
  <c r="AI13" i="18"/>
  <c r="AI19" i="18"/>
  <c r="AI17" i="18"/>
  <c r="AI23" i="18"/>
  <c r="AI29" i="18"/>
  <c r="AI33" i="18"/>
  <c r="AI18" i="18"/>
  <c r="AJ7" i="18"/>
  <c r="AI25" i="18"/>
  <c r="AI21" i="18"/>
  <c r="AI27" i="18"/>
  <c r="AI30" i="18"/>
  <c r="AI34" i="18"/>
  <c r="AI12" i="18"/>
  <c r="AI20" i="18"/>
  <c r="AI26" i="18"/>
  <c r="AI24" i="18"/>
  <c r="AI31" i="18"/>
  <c r="AK35" i="17" l="1"/>
  <c r="AK29" i="17"/>
  <c r="AK18" i="17"/>
  <c r="AK25" i="17"/>
  <c r="AK11" i="17"/>
  <c r="AK19" i="17"/>
  <c r="AK6" i="17"/>
  <c r="AK12" i="17"/>
  <c r="AK21" i="17"/>
  <c r="AK26" i="17"/>
  <c r="AK20" i="17"/>
  <c r="AK23" i="17"/>
  <c r="AK30" i="17"/>
  <c r="AL7" i="17"/>
  <c r="AL9" i="17" s="1"/>
  <c r="AK27" i="17"/>
  <c r="AK9" i="17"/>
  <c r="AK16" i="17"/>
  <c r="AK15" i="17"/>
  <c r="AK32" i="17"/>
  <c r="AK14" i="17"/>
  <c r="AK33" i="17"/>
  <c r="AK17" i="17"/>
  <c r="AK22" i="17"/>
  <c r="AK31" i="17"/>
  <c r="AK34" i="17"/>
  <c r="AK13" i="17"/>
  <c r="AK24" i="17"/>
  <c r="AJ33" i="18"/>
  <c r="AJ9" i="18"/>
  <c r="AJ34" i="18"/>
  <c r="AJ35" i="18"/>
  <c r="AJ18" i="18"/>
  <c r="AJ24" i="18"/>
  <c r="AJ13" i="18"/>
  <c r="AJ26" i="18"/>
  <c r="AJ14" i="18"/>
  <c r="AJ22" i="18"/>
  <c r="AJ16" i="18"/>
  <c r="AJ25" i="18"/>
  <c r="AJ30" i="18"/>
  <c r="AJ15" i="18"/>
  <c r="AJ31" i="18"/>
  <c r="AJ12" i="18"/>
  <c r="AJ11" i="18"/>
  <c r="AJ28" i="18"/>
  <c r="AJ20" i="18"/>
  <c r="AJ23" i="18"/>
  <c r="AJ32" i="18"/>
  <c r="AK7" i="18"/>
  <c r="AK9" i="18" s="1"/>
  <c r="AJ21" i="18"/>
  <c r="AJ17" i="18"/>
  <c r="AJ19" i="18"/>
  <c r="AJ29" i="18"/>
  <c r="AJ27" i="18"/>
  <c r="AL35" i="17" l="1"/>
  <c r="AL34" i="17"/>
  <c r="AL33" i="17"/>
  <c r="AL13" i="17"/>
  <c r="AL20" i="17"/>
  <c r="AL21" i="17"/>
  <c r="AL14" i="17"/>
  <c r="AL24" i="17"/>
  <c r="AL25" i="17"/>
  <c r="AL11" i="17"/>
  <c r="AL26" i="17"/>
  <c r="AL15" i="17"/>
  <c r="AL27" i="17"/>
  <c r="AL12" i="17"/>
  <c r="AL22" i="17"/>
  <c r="AL29" i="17"/>
  <c r="AL18" i="17"/>
  <c r="AL16" i="17"/>
  <c r="AL23" i="17"/>
  <c r="AL30" i="17"/>
  <c r="AM7" i="17"/>
  <c r="AM9" i="17" s="1"/>
  <c r="AL28" i="17"/>
  <c r="AL17" i="17"/>
  <c r="AL19" i="17"/>
  <c r="AL31" i="17"/>
  <c r="AL32" i="17"/>
  <c r="AK12" i="18"/>
  <c r="AK11" i="18"/>
  <c r="AK15" i="18"/>
  <c r="AK20" i="18"/>
  <c r="AK16" i="18"/>
  <c r="AK22" i="18"/>
  <c r="AK23" i="18"/>
  <c r="AK28" i="18"/>
  <c r="AK29" i="18"/>
  <c r="AK34" i="18"/>
  <c r="AK6" i="18"/>
  <c r="AK31" i="18"/>
  <c r="AK14" i="18"/>
  <c r="AK35" i="18"/>
  <c r="AK21" i="18"/>
  <c r="AK26" i="18"/>
  <c r="AK24" i="18"/>
  <c r="AK30" i="18"/>
  <c r="AK19" i="18"/>
  <c r="AL7" i="18"/>
  <c r="AL35" i="18" s="1"/>
  <c r="AK13" i="18"/>
  <c r="AK17" i="18"/>
  <c r="AK18" i="18"/>
  <c r="AK27" i="18"/>
  <c r="AK33" i="18"/>
  <c r="AK32" i="18"/>
  <c r="AK25" i="18"/>
  <c r="AM11" i="17" l="1"/>
  <c r="AM24" i="17"/>
  <c r="AM17" i="17"/>
  <c r="AM21" i="17"/>
  <c r="AM34" i="17"/>
  <c r="AM23" i="17"/>
  <c r="AM26" i="17"/>
  <c r="AN7" i="17"/>
  <c r="AN9" i="17" s="1"/>
  <c r="AM22" i="17"/>
  <c r="AM12" i="17"/>
  <c r="AM25" i="17"/>
  <c r="AM28" i="17"/>
  <c r="AM13" i="17"/>
  <c r="AM20" i="17"/>
  <c r="AM27" i="17"/>
  <c r="AM14" i="17"/>
  <c r="AM29" i="17"/>
  <c r="AM33" i="17"/>
  <c r="AM15" i="17"/>
  <c r="AM16" i="17"/>
  <c r="AM30" i="17"/>
  <c r="AM31" i="17"/>
  <c r="AM19" i="17"/>
  <c r="AM18" i="17"/>
  <c r="AM32" i="17"/>
  <c r="AM35" i="17"/>
  <c r="AL33" i="18"/>
  <c r="AL9" i="18"/>
  <c r="AL12" i="18"/>
  <c r="AL15" i="18"/>
  <c r="AL22" i="18"/>
  <c r="AL24" i="18"/>
  <c r="AL30" i="18"/>
  <c r="AL14" i="18"/>
  <c r="AL26" i="18"/>
  <c r="AL23" i="18"/>
  <c r="AL28" i="18"/>
  <c r="AL31" i="18"/>
  <c r="AL11" i="18"/>
  <c r="AL19" i="18"/>
  <c r="AL17" i="18"/>
  <c r="AL13" i="18"/>
  <c r="AL29" i="18"/>
  <c r="AL32" i="18"/>
  <c r="AM7" i="18"/>
  <c r="AL16" i="18"/>
  <c r="AL21" i="18"/>
  <c r="AL18" i="18"/>
  <c r="AL25" i="18"/>
  <c r="AL34" i="18"/>
  <c r="AL20" i="18"/>
  <c r="AL27" i="18"/>
  <c r="AN14" i="17" l="1"/>
  <c r="AN21" i="17"/>
  <c r="AN16" i="17"/>
  <c r="AN32" i="17"/>
  <c r="AN13" i="17"/>
  <c r="AN34" i="17"/>
  <c r="AO7" i="17"/>
  <c r="AO9" i="17" s="1"/>
  <c r="AN19" i="17"/>
  <c r="AN25" i="17"/>
  <c r="AN29" i="17"/>
  <c r="AN27" i="17"/>
  <c r="AN26" i="17"/>
  <c r="AN18" i="17"/>
  <c r="AN30" i="17"/>
  <c r="AN11" i="17"/>
  <c r="AN15" i="17"/>
  <c r="AN23" i="17"/>
  <c r="AN20" i="17"/>
  <c r="AN31" i="17"/>
  <c r="AN12" i="17"/>
  <c r="AN17" i="17"/>
  <c r="AN33" i="17"/>
  <c r="AN22" i="17"/>
  <c r="AN24" i="17"/>
  <c r="AN28" i="17"/>
  <c r="AN35" i="17"/>
  <c r="AM35" i="18"/>
  <c r="AM9" i="18"/>
  <c r="AM17" i="18"/>
  <c r="AM22" i="18"/>
  <c r="AN7" i="18"/>
  <c r="AN26" i="18" s="1"/>
  <c r="AM28" i="18"/>
  <c r="AM14" i="18"/>
  <c r="AM32" i="18"/>
  <c r="AM12" i="18"/>
  <c r="AM19" i="18"/>
  <c r="AM21" i="18"/>
  <c r="AM23" i="18"/>
  <c r="AM29" i="18"/>
  <c r="AM33" i="18"/>
  <c r="AM11" i="18"/>
  <c r="AM13" i="18"/>
  <c r="AM20" i="18"/>
  <c r="AM25" i="18"/>
  <c r="AM27" i="18"/>
  <c r="AM30" i="18"/>
  <c r="AM34" i="18"/>
  <c r="AM18" i="18"/>
  <c r="AM15" i="18"/>
  <c r="AM16" i="18"/>
  <c r="AM26" i="18"/>
  <c r="AM24" i="18"/>
  <c r="AM31" i="18"/>
  <c r="AO12" i="17" l="1"/>
  <c r="AO31" i="17"/>
  <c r="AO33" i="17"/>
  <c r="AO21" i="17"/>
  <c r="AO17" i="17"/>
  <c r="AO35" i="17"/>
  <c r="AO24" i="17"/>
  <c r="AO15" i="17"/>
  <c r="AO11" i="17"/>
  <c r="AO20" i="17"/>
  <c r="AP7" i="17"/>
  <c r="AP9" i="17" s="1"/>
  <c r="AO18" i="17"/>
  <c r="AO26" i="17"/>
  <c r="AO25" i="17"/>
  <c r="AO13" i="17"/>
  <c r="AO22" i="17"/>
  <c r="AO34" i="17"/>
  <c r="AO32" i="17"/>
  <c r="AO14" i="17"/>
  <c r="AO30" i="17"/>
  <c r="AO28" i="17"/>
  <c r="AO23" i="17"/>
  <c r="AO27" i="17"/>
  <c r="AO16" i="17"/>
  <c r="AO19" i="17"/>
  <c r="AO29" i="17"/>
  <c r="AN13" i="18"/>
  <c r="AN27" i="18"/>
  <c r="AN18" i="18"/>
  <c r="AN33" i="18"/>
  <c r="AN11" i="18"/>
  <c r="AN30" i="18"/>
  <c r="AN14" i="18"/>
  <c r="AN31" i="18"/>
  <c r="AN28" i="18"/>
  <c r="AN34" i="18"/>
  <c r="AN15" i="18"/>
  <c r="AN29" i="18"/>
  <c r="AN20" i="18"/>
  <c r="AN21" i="18"/>
  <c r="AO7" i="18"/>
  <c r="AO9" i="18" s="1"/>
  <c r="AN22" i="18"/>
  <c r="AN16" i="18"/>
  <c r="AN25" i="18"/>
  <c r="AN35" i="18"/>
  <c r="AN17" i="18"/>
  <c r="AN32" i="18"/>
  <c r="AN9" i="18"/>
  <c r="AN12" i="18"/>
  <c r="AN19" i="18"/>
  <c r="AN24" i="18"/>
  <c r="AN23" i="18"/>
  <c r="AP20" i="17" l="1"/>
  <c r="AP22" i="17"/>
  <c r="AP29" i="17"/>
  <c r="AP14" i="17"/>
  <c r="AP32" i="17"/>
  <c r="AP30" i="17"/>
  <c r="AP15" i="17"/>
  <c r="AP25" i="17"/>
  <c r="AP31" i="17"/>
  <c r="AP16" i="17"/>
  <c r="AP33" i="17"/>
  <c r="AP11" i="17"/>
  <c r="AP17" i="17"/>
  <c r="AP26" i="17"/>
  <c r="AP34" i="17"/>
  <c r="AP23" i="17"/>
  <c r="AP19" i="17"/>
  <c r="AP24" i="17"/>
  <c r="AQ7" i="17"/>
  <c r="AQ9" i="17" s="1"/>
  <c r="AP21" i="17"/>
  <c r="AP27" i="17"/>
  <c r="AP35" i="17"/>
  <c r="AP13" i="17"/>
  <c r="AP12" i="17"/>
  <c r="AP18" i="17"/>
  <c r="AP28" i="17"/>
  <c r="AP7" i="18"/>
  <c r="AP9" i="18" s="1"/>
  <c r="AO13" i="18"/>
  <c r="AO11" i="18"/>
  <c r="AO20" i="18"/>
  <c r="AO17" i="18"/>
  <c r="AO19" i="18"/>
  <c r="AO22" i="18"/>
  <c r="AO34" i="18"/>
  <c r="AO12" i="18"/>
  <c r="AO16" i="18"/>
  <c r="AO23" i="18"/>
  <c r="AO28" i="18"/>
  <c r="AO15" i="18"/>
  <c r="AO30" i="18"/>
  <c r="AO29" i="18"/>
  <c r="AO32" i="18"/>
  <c r="AO24" i="18"/>
  <c r="AO18" i="18"/>
  <c r="AO35" i="18"/>
  <c r="AO21" i="18"/>
  <c r="AO27" i="18"/>
  <c r="AO14" i="18"/>
  <c r="AO26" i="18"/>
  <c r="AO25" i="18"/>
  <c r="AO31" i="18"/>
  <c r="AO33" i="18"/>
  <c r="AR7" i="17" l="1"/>
  <c r="AR32" i="17" s="1"/>
  <c r="AQ27" i="17"/>
  <c r="AQ30" i="17"/>
  <c r="AQ29" i="17"/>
  <c r="AQ31" i="17"/>
  <c r="AQ11" i="17"/>
  <c r="AQ19" i="17"/>
  <c r="AQ12" i="17"/>
  <c r="AQ20" i="17"/>
  <c r="AQ17" i="17"/>
  <c r="AQ21" i="17"/>
  <c r="AQ18" i="17"/>
  <c r="AQ13" i="17"/>
  <c r="AQ33" i="17"/>
  <c r="AQ28" i="17"/>
  <c r="AQ32" i="17"/>
  <c r="AQ22" i="17"/>
  <c r="AQ14" i="17"/>
  <c r="AQ15" i="17"/>
  <c r="AQ23" i="17"/>
  <c r="AQ34" i="17"/>
  <c r="AQ25" i="17"/>
  <c r="AQ35" i="17"/>
  <c r="AQ24" i="17"/>
  <c r="AQ16" i="17"/>
  <c r="AQ26" i="17"/>
  <c r="AP16" i="18"/>
  <c r="AP21" i="18"/>
  <c r="AP20" i="18"/>
  <c r="AP23" i="18"/>
  <c r="AP28" i="18"/>
  <c r="AP25" i="18"/>
  <c r="AP35" i="18"/>
  <c r="AP12" i="18"/>
  <c r="AP13" i="18"/>
  <c r="AP31" i="18"/>
  <c r="AP26" i="18"/>
  <c r="AP30" i="18"/>
  <c r="AP22" i="18"/>
  <c r="AP18" i="18"/>
  <c r="AP32" i="18"/>
  <c r="AP14" i="18"/>
  <c r="AP27" i="18"/>
  <c r="AP33" i="18"/>
  <c r="AQ7" i="18"/>
  <c r="AQ9" i="18" s="1"/>
  <c r="AP11" i="18"/>
  <c r="AP15" i="18"/>
  <c r="AP24" i="18"/>
  <c r="AP34" i="18"/>
  <c r="AP19" i="18"/>
  <c r="AP17" i="18"/>
  <c r="AP29" i="18"/>
  <c r="AR12" i="17" l="1"/>
  <c r="AR33" i="17"/>
  <c r="AR17" i="17"/>
  <c r="AR18" i="17"/>
  <c r="AR25" i="17"/>
  <c r="AR28" i="17"/>
  <c r="AR35" i="17"/>
  <c r="AR14" i="17"/>
  <c r="AR24" i="17"/>
  <c r="AR29" i="17"/>
  <c r="AR9" i="17"/>
  <c r="AR23" i="17"/>
  <c r="AR34" i="17"/>
  <c r="AR19" i="17"/>
  <c r="AR15" i="17"/>
  <c r="AR6" i="17"/>
  <c r="AR20" i="17"/>
  <c r="AR30" i="17"/>
  <c r="AR21" i="17"/>
  <c r="AR22" i="17"/>
  <c r="AR27" i="17"/>
  <c r="AR31" i="17"/>
  <c r="AR13" i="17"/>
  <c r="AR26" i="17"/>
  <c r="AR11" i="17"/>
  <c r="AS7" i="17"/>
  <c r="AS9" i="17" s="1"/>
  <c r="AR16" i="17"/>
  <c r="AQ13" i="18"/>
  <c r="AQ28" i="18"/>
  <c r="AQ29" i="18"/>
  <c r="AQ32" i="18"/>
  <c r="AQ33" i="18"/>
  <c r="AQ15" i="18"/>
  <c r="AQ11" i="18"/>
  <c r="AQ12" i="18"/>
  <c r="AQ18" i="18"/>
  <c r="AQ20" i="18"/>
  <c r="AQ19" i="18"/>
  <c r="AQ16" i="18"/>
  <c r="AQ21" i="18"/>
  <c r="AQ17" i="18"/>
  <c r="AR7" i="18"/>
  <c r="AR9" i="18" s="1"/>
  <c r="AQ26" i="18"/>
  <c r="AQ23" i="18"/>
  <c r="AQ14" i="18"/>
  <c r="AQ27" i="18"/>
  <c r="AQ24" i="18"/>
  <c r="AQ25" i="18"/>
  <c r="AQ22" i="18"/>
  <c r="AQ34" i="18"/>
  <c r="AQ35" i="18"/>
  <c r="AQ31" i="18"/>
  <c r="AQ30" i="18"/>
  <c r="AS14" i="17" l="1"/>
  <c r="AS28" i="17"/>
  <c r="AS11" i="17"/>
  <c r="AS29" i="17"/>
  <c r="AS25" i="17"/>
  <c r="AS22" i="17"/>
  <c r="AS17" i="17"/>
  <c r="AS33" i="17"/>
  <c r="AS35" i="17"/>
  <c r="AS26" i="17"/>
  <c r="AT7" i="17"/>
  <c r="AT9" i="17" s="1"/>
  <c r="AS31" i="17"/>
  <c r="AS19" i="17"/>
  <c r="AS12" i="17"/>
  <c r="AS15" i="17"/>
  <c r="AS24" i="17"/>
  <c r="AS13" i="17"/>
  <c r="AS18" i="17"/>
  <c r="AS20" i="17"/>
  <c r="AS27" i="17"/>
  <c r="AS21" i="17"/>
  <c r="AS30" i="17"/>
  <c r="AS32" i="17"/>
  <c r="AS16" i="17"/>
  <c r="AS23" i="17"/>
  <c r="AS34" i="17"/>
  <c r="AR12" i="18"/>
  <c r="AR24" i="18"/>
  <c r="AR19" i="18"/>
  <c r="AR29" i="18"/>
  <c r="AR27" i="18"/>
  <c r="AR23" i="18"/>
  <c r="AR16" i="18"/>
  <c r="AR30" i="18"/>
  <c r="AR21" i="18"/>
  <c r="AR31" i="18"/>
  <c r="AR11" i="18"/>
  <c r="AR32" i="18"/>
  <c r="AR17" i="18"/>
  <c r="AR15" i="18"/>
  <c r="AR20" i="18"/>
  <c r="AS7" i="18"/>
  <c r="AS9" i="18" s="1"/>
  <c r="AR28" i="18"/>
  <c r="AR33" i="18"/>
  <c r="AR13" i="18"/>
  <c r="AR25" i="18"/>
  <c r="AR14" i="18"/>
  <c r="AR18" i="18"/>
  <c r="AR26" i="18"/>
  <c r="AR34" i="18"/>
  <c r="AR22" i="18"/>
  <c r="AR6" i="18"/>
  <c r="AR35" i="18"/>
  <c r="AT22" i="17" l="1"/>
  <c r="AT23" i="17"/>
  <c r="AT16" i="17"/>
  <c r="AT30" i="17"/>
  <c r="AT11" i="17"/>
  <c r="AT17" i="17"/>
  <c r="AT31" i="17"/>
  <c r="AT14" i="17"/>
  <c r="AT34" i="17"/>
  <c r="AT18" i="17"/>
  <c r="AT26" i="17"/>
  <c r="AT12" i="17"/>
  <c r="AT29" i="17"/>
  <c r="AT20" i="17"/>
  <c r="AT19" i="17"/>
  <c r="AT32" i="17"/>
  <c r="AT13" i="17"/>
  <c r="AT24" i="17"/>
  <c r="AT33" i="17"/>
  <c r="AT15" i="17"/>
  <c r="AT21" i="17"/>
  <c r="AT27" i="17"/>
  <c r="AT35" i="17"/>
  <c r="AU7" i="17"/>
  <c r="AU9" i="17" s="1"/>
  <c r="AT25" i="17"/>
  <c r="AT28" i="17"/>
  <c r="AS20" i="18"/>
  <c r="AS12" i="18"/>
  <c r="AS27" i="18"/>
  <c r="AS24" i="18"/>
  <c r="AS30" i="18"/>
  <c r="AS32" i="18"/>
  <c r="AS15" i="18"/>
  <c r="AS34" i="18"/>
  <c r="AS16" i="18"/>
  <c r="AS23" i="18"/>
  <c r="AS25" i="18"/>
  <c r="AS18" i="18"/>
  <c r="AS26" i="18"/>
  <c r="AS11" i="18"/>
  <c r="AS14" i="18"/>
  <c r="AS17" i="18"/>
  <c r="AS19" i="18"/>
  <c r="AS33" i="18"/>
  <c r="AS13" i="18"/>
  <c r="AS21" i="18"/>
  <c r="AS28" i="18"/>
  <c r="AS35" i="18"/>
  <c r="AT7" i="18"/>
  <c r="AT9" i="18" s="1"/>
  <c r="AS22" i="18"/>
  <c r="AS29" i="18"/>
  <c r="AS31" i="18"/>
  <c r="AU19" i="17" l="1"/>
  <c r="AU24" i="17"/>
  <c r="AU25" i="17"/>
  <c r="AU18" i="17"/>
  <c r="AU31" i="17"/>
  <c r="AU32" i="17"/>
  <c r="AU15" i="17"/>
  <c r="AU13" i="17"/>
  <c r="AU22" i="17"/>
  <c r="AU33" i="17"/>
  <c r="AU14" i="17"/>
  <c r="AU20" i="17"/>
  <c r="AU23" i="17"/>
  <c r="AU34" i="17"/>
  <c r="AU11" i="17"/>
  <c r="AU28" i="17"/>
  <c r="AU29" i="17"/>
  <c r="AU35" i="17"/>
  <c r="AU16" i="17"/>
  <c r="AU26" i="17"/>
  <c r="AV7" i="17"/>
  <c r="AV9" i="17" s="1"/>
  <c r="AU17" i="17"/>
  <c r="AU27" i="17"/>
  <c r="AU12" i="17"/>
  <c r="AU21" i="17"/>
  <c r="AU30" i="17"/>
  <c r="AT20" i="18"/>
  <c r="AT17" i="18"/>
  <c r="AT18" i="18"/>
  <c r="AT26" i="18"/>
  <c r="AT34" i="18"/>
  <c r="AT11" i="18"/>
  <c r="AT27" i="18"/>
  <c r="AT24" i="18"/>
  <c r="AT33" i="18"/>
  <c r="AT16" i="18"/>
  <c r="AT31" i="18"/>
  <c r="AT15" i="18"/>
  <c r="AT32" i="18"/>
  <c r="AU7" i="18"/>
  <c r="AU9" i="18" s="1"/>
  <c r="AT21" i="18"/>
  <c r="AT28" i="18"/>
  <c r="AT35" i="18"/>
  <c r="AT12" i="18"/>
  <c r="AT22" i="18"/>
  <c r="AT29" i="18"/>
  <c r="AT14" i="18"/>
  <c r="AT23" i="18"/>
  <c r="AT25" i="18"/>
  <c r="AT19" i="18"/>
  <c r="AT13" i="18"/>
  <c r="AT30" i="18"/>
  <c r="AV35" i="17" l="1"/>
  <c r="AV31" i="17"/>
  <c r="AV32" i="17"/>
  <c r="AV34" i="17"/>
  <c r="AV13" i="17"/>
  <c r="AV23" i="17"/>
  <c r="AV11" i="17"/>
  <c r="AV17" i="17"/>
  <c r="AV24" i="17"/>
  <c r="AV20" i="17"/>
  <c r="AV16" i="17"/>
  <c r="AV27" i="17"/>
  <c r="AV18" i="17"/>
  <c r="AV22" i="17"/>
  <c r="AV28" i="17"/>
  <c r="AV21" i="17"/>
  <c r="AW7" i="17"/>
  <c r="AW9" i="17" s="1"/>
  <c r="AV19" i="17"/>
  <c r="AV26" i="17"/>
  <c r="AV30" i="17"/>
  <c r="AV12" i="17"/>
  <c r="AV25" i="17"/>
  <c r="AV33" i="17"/>
  <c r="AV14" i="17"/>
  <c r="AV15" i="17"/>
  <c r="AV29" i="17"/>
  <c r="AU25" i="18"/>
  <c r="AU31" i="18"/>
  <c r="AU21" i="18"/>
  <c r="AU33" i="18"/>
  <c r="AU12" i="18"/>
  <c r="AU22" i="18"/>
  <c r="AU15" i="18"/>
  <c r="AU23" i="18"/>
  <c r="AU14" i="18"/>
  <c r="AU27" i="18"/>
  <c r="AU20" i="18"/>
  <c r="AU19" i="18"/>
  <c r="AU24" i="18"/>
  <c r="AU32" i="18"/>
  <c r="AU13" i="18"/>
  <c r="AU11" i="18"/>
  <c r="AU26" i="18"/>
  <c r="AU34" i="18"/>
  <c r="AU18" i="18"/>
  <c r="AU16" i="18"/>
  <c r="AU29" i="18"/>
  <c r="AV7" i="18"/>
  <c r="AV9" i="18" s="1"/>
  <c r="AU17" i="18"/>
  <c r="AU30" i="18"/>
  <c r="AU35" i="18"/>
  <c r="AU28" i="18"/>
  <c r="AW16" i="17" l="1"/>
  <c r="AW35" i="17"/>
  <c r="AW27" i="17"/>
  <c r="AW18" i="17"/>
  <c r="AW28" i="17"/>
  <c r="AW23" i="17"/>
  <c r="AW33" i="17"/>
  <c r="AW22" i="17"/>
  <c r="AW26" i="17"/>
  <c r="AW29" i="17"/>
  <c r="AW24" i="17"/>
  <c r="AX7" i="17"/>
  <c r="AX9" i="17" s="1"/>
  <c r="AW32" i="17"/>
  <c r="AW13" i="17"/>
  <c r="AW21" i="17"/>
  <c r="AW14" i="17"/>
  <c r="AW20" i="17"/>
  <c r="AW31" i="17"/>
  <c r="AW17" i="17"/>
  <c r="AW19" i="17"/>
  <c r="AW30" i="17"/>
  <c r="AW12" i="17"/>
  <c r="AW11" i="17"/>
  <c r="AW15" i="17"/>
  <c r="AW34" i="17"/>
  <c r="AW25" i="17"/>
  <c r="AV13" i="18"/>
  <c r="AV17" i="18"/>
  <c r="AV28" i="18"/>
  <c r="AV20" i="18"/>
  <c r="AW7" i="18"/>
  <c r="AW9" i="18" s="1"/>
  <c r="AV24" i="18"/>
  <c r="AV33" i="18"/>
  <c r="AV11" i="18"/>
  <c r="AV25" i="18"/>
  <c r="AV29" i="18"/>
  <c r="AV30" i="18"/>
  <c r="AV15" i="18"/>
  <c r="AV14" i="18"/>
  <c r="AV26" i="18"/>
  <c r="AV21" i="18"/>
  <c r="AV23" i="18"/>
  <c r="AV12" i="18"/>
  <c r="AV19" i="18"/>
  <c r="AV27" i="18"/>
  <c r="AV31" i="18"/>
  <c r="AV32" i="18"/>
  <c r="AV34" i="18"/>
  <c r="AV16" i="18"/>
  <c r="AV18" i="18"/>
  <c r="AV22" i="18"/>
  <c r="AV35" i="18"/>
  <c r="AX19" i="17" l="1"/>
  <c r="AX15" i="17"/>
  <c r="AX24" i="17"/>
  <c r="AX23" i="17"/>
  <c r="AX25" i="17"/>
  <c r="AX27" i="17"/>
  <c r="AY7" i="17"/>
  <c r="AY6" i="17" s="1"/>
  <c r="AX13" i="17"/>
  <c r="AX20" i="17"/>
  <c r="AX30" i="17"/>
  <c r="AX16" i="17"/>
  <c r="AX31" i="17"/>
  <c r="AX21" i="17"/>
  <c r="AX33" i="17"/>
  <c r="AX22" i="17"/>
  <c r="AX34" i="17"/>
  <c r="AX14" i="17"/>
  <c r="AX26" i="17"/>
  <c r="AX11" i="17"/>
  <c r="AX17" i="17"/>
  <c r="AX28" i="17"/>
  <c r="AX32" i="17"/>
  <c r="AX35" i="17"/>
  <c r="AX12" i="17"/>
  <c r="AX18" i="17"/>
  <c r="AX29" i="17"/>
  <c r="AW28" i="18"/>
  <c r="AW29" i="18"/>
  <c r="AW30" i="18"/>
  <c r="AW32" i="18"/>
  <c r="AW34" i="18"/>
  <c r="AW26" i="18"/>
  <c r="AX7" i="18"/>
  <c r="AX9" i="18" s="1"/>
  <c r="AW24" i="18"/>
  <c r="AW12" i="18"/>
  <c r="AW13" i="18"/>
  <c r="AW33" i="18"/>
  <c r="AW16" i="18"/>
  <c r="AW17" i="18"/>
  <c r="AW31" i="18"/>
  <c r="AW18" i="18"/>
  <c r="AW14" i="18"/>
  <c r="AW19" i="18"/>
  <c r="AW15" i="18"/>
  <c r="AW22" i="18"/>
  <c r="AW23" i="18"/>
  <c r="AW11" i="18"/>
  <c r="AW27" i="18"/>
  <c r="AW25" i="18"/>
  <c r="AW20" i="18"/>
  <c r="AW21" i="18"/>
  <c r="AW35" i="18"/>
  <c r="AY13" i="17" l="1"/>
  <c r="AY14" i="17"/>
  <c r="AY15" i="17"/>
  <c r="AY20" i="17"/>
  <c r="AY17" i="17"/>
  <c r="AY21" i="17"/>
  <c r="AY23" i="17"/>
  <c r="AY33" i="17"/>
  <c r="AY22" i="17"/>
  <c r="AY19" i="17"/>
  <c r="AY31" i="17"/>
  <c r="AY30" i="17"/>
  <c r="AY24" i="17"/>
  <c r="AY32" i="17"/>
  <c r="AY34" i="17"/>
  <c r="AY12" i="17"/>
  <c r="AY28" i="17"/>
  <c r="AY29" i="17"/>
  <c r="AY18" i="17"/>
  <c r="AY35" i="17"/>
  <c r="AY11" i="17"/>
  <c r="AY25" i="17"/>
  <c r="AY26" i="17"/>
  <c r="AY9" i="17"/>
  <c r="AZ7" i="17"/>
  <c r="AZ9" i="17" s="1"/>
  <c r="AY16" i="17"/>
  <c r="AY27" i="17"/>
  <c r="AX22" i="18"/>
  <c r="AX27" i="18"/>
  <c r="AX33" i="18"/>
  <c r="AX11" i="18"/>
  <c r="AX26" i="18"/>
  <c r="AX24" i="18"/>
  <c r="AX34" i="18"/>
  <c r="AX16" i="18"/>
  <c r="AX15" i="18"/>
  <c r="AX28" i="18"/>
  <c r="AX35" i="18"/>
  <c r="AX14" i="18"/>
  <c r="AX20" i="18"/>
  <c r="AX29" i="18"/>
  <c r="AY7" i="18"/>
  <c r="AY9" i="18" s="1"/>
  <c r="AX17" i="18"/>
  <c r="AX12" i="18"/>
  <c r="AX21" i="18"/>
  <c r="AX30" i="18"/>
  <c r="AX25" i="18"/>
  <c r="AX23" i="18"/>
  <c r="AX13" i="18"/>
  <c r="AX31" i="18"/>
  <c r="AX19" i="18"/>
  <c r="AX18" i="18"/>
  <c r="AX32" i="18"/>
  <c r="AZ25" i="17" l="1"/>
  <c r="AZ15" i="17"/>
  <c r="AZ20" i="17"/>
  <c r="AZ26" i="17"/>
  <c r="AZ16" i="17"/>
  <c r="AZ32" i="17"/>
  <c r="AZ19" i="17"/>
  <c r="BA7" i="17"/>
  <c r="BA9" i="17" s="1"/>
  <c r="AZ23" i="17"/>
  <c r="AZ30" i="17"/>
  <c r="AZ11" i="17"/>
  <c r="AZ31" i="17"/>
  <c r="AZ12" i="17"/>
  <c r="AZ17" i="17"/>
  <c r="AZ33" i="17"/>
  <c r="AZ18" i="17"/>
  <c r="AZ22" i="17"/>
  <c r="AZ21" i="17"/>
  <c r="AZ34" i="17"/>
  <c r="AZ13" i="17"/>
  <c r="AZ27" i="17"/>
  <c r="AZ28" i="17"/>
  <c r="AZ35" i="17"/>
  <c r="AZ14" i="17"/>
  <c r="AZ24" i="17"/>
  <c r="AZ29" i="17"/>
  <c r="AY15" i="18"/>
  <c r="AY12" i="18"/>
  <c r="AY25" i="18"/>
  <c r="AY16" i="18"/>
  <c r="AY22" i="18"/>
  <c r="AY20" i="18"/>
  <c r="AY27" i="18"/>
  <c r="AY18" i="18"/>
  <c r="AY24" i="18"/>
  <c r="AY13" i="18"/>
  <c r="AY29" i="18"/>
  <c r="AY14" i="18"/>
  <c r="AY30" i="18"/>
  <c r="AY17" i="18"/>
  <c r="AY31" i="18"/>
  <c r="AY11" i="18"/>
  <c r="AY21" i="18"/>
  <c r="AY33" i="18"/>
  <c r="AZ7" i="18"/>
  <c r="AZ9" i="18" s="1"/>
  <c r="AY26" i="18"/>
  <c r="AY32" i="18"/>
  <c r="AY6" i="18"/>
  <c r="AY19" i="18"/>
  <c r="AY23" i="18"/>
  <c r="AY34" i="18"/>
  <c r="AY35" i="18"/>
  <c r="AY28" i="18"/>
  <c r="BA28" i="17" l="1"/>
  <c r="BA20" i="17"/>
  <c r="BA13" i="17"/>
  <c r="BA29" i="17"/>
  <c r="BA18" i="17"/>
  <c r="BA30" i="17"/>
  <c r="BA14" i="17"/>
  <c r="BA24" i="17"/>
  <c r="BA26" i="17"/>
  <c r="BA15" i="17"/>
  <c r="BA21" i="17"/>
  <c r="BA25" i="17"/>
  <c r="BA32" i="17"/>
  <c r="BA34" i="17"/>
  <c r="BA16" i="17"/>
  <c r="BA11" i="17"/>
  <c r="BA27" i="17"/>
  <c r="BA12" i="17"/>
  <c r="BA22" i="17"/>
  <c r="BA31" i="17"/>
  <c r="BB7" i="17"/>
  <c r="BB9" i="17" s="1"/>
  <c r="BA23" i="17"/>
  <c r="BA33" i="17"/>
  <c r="BA17" i="17"/>
  <c r="BA19" i="17"/>
  <c r="BA35" i="17"/>
  <c r="AZ22" i="18"/>
  <c r="AZ26" i="18"/>
  <c r="AZ34" i="18"/>
  <c r="AZ33" i="18"/>
  <c r="AZ35" i="18"/>
  <c r="AZ14" i="18"/>
  <c r="BA7" i="18"/>
  <c r="BA9" i="18" s="1"/>
  <c r="AZ12" i="18"/>
  <c r="AZ18" i="18"/>
  <c r="AZ24" i="18"/>
  <c r="AZ15" i="18"/>
  <c r="AZ20" i="18"/>
  <c r="AZ21" i="18"/>
  <c r="AZ16" i="18"/>
  <c r="AZ23" i="18"/>
  <c r="AZ28" i="18"/>
  <c r="AZ27" i="18"/>
  <c r="AZ13" i="18"/>
  <c r="AZ19" i="18"/>
  <c r="AZ30" i="18"/>
  <c r="AZ11" i="18"/>
  <c r="AZ29" i="18"/>
  <c r="AZ31" i="18"/>
  <c r="AZ17" i="18"/>
  <c r="AZ25" i="18"/>
  <c r="AZ32" i="18"/>
  <c r="BB35" i="17" l="1"/>
  <c r="BB27" i="17"/>
  <c r="BB26" i="17"/>
  <c r="BB34" i="17"/>
  <c r="BB20" i="17"/>
  <c r="BB21" i="17"/>
  <c r="BB15" i="17"/>
  <c r="BB11" i="17"/>
  <c r="BB23" i="17"/>
  <c r="BB13" i="17"/>
  <c r="BB24" i="17"/>
  <c r="BB32" i="17"/>
  <c r="BC7" i="17"/>
  <c r="BC9" i="17" s="1"/>
  <c r="BB18" i="17"/>
  <c r="BB28" i="17"/>
  <c r="BB12" i="17"/>
  <c r="BB22" i="17"/>
  <c r="BB29" i="17"/>
  <c r="BB16" i="17"/>
  <c r="BB30" i="17"/>
  <c r="BB17" i="17"/>
  <c r="BB19" i="17"/>
  <c r="BB31" i="17"/>
  <c r="BB14" i="17"/>
  <c r="BB25" i="17"/>
  <c r="BB33" i="17"/>
  <c r="BB7" i="18"/>
  <c r="BB9" i="18" s="1"/>
  <c r="BA20" i="18"/>
  <c r="BA19" i="18"/>
  <c r="BA29" i="18"/>
  <c r="BA22" i="18"/>
  <c r="BA24" i="18"/>
  <c r="BA33" i="18"/>
  <c r="BA12" i="18"/>
  <c r="BA35" i="18"/>
  <c r="BA13" i="18"/>
  <c r="BA15" i="18"/>
  <c r="BA25" i="18"/>
  <c r="BA17" i="18"/>
  <c r="BA26" i="18"/>
  <c r="BA18" i="18"/>
  <c r="BA32" i="18"/>
  <c r="BA14" i="18"/>
  <c r="BA21" i="18"/>
  <c r="BA27" i="18"/>
  <c r="BA34" i="18"/>
  <c r="BA16" i="18"/>
  <c r="BA28" i="18"/>
  <c r="BA30" i="18"/>
  <c r="BA11" i="18"/>
  <c r="BA23" i="18"/>
  <c r="BA31" i="18"/>
  <c r="BC35" i="17" l="1"/>
  <c r="BC17" i="17"/>
  <c r="BC24" i="17"/>
  <c r="BC21" i="17"/>
  <c r="BC34" i="17"/>
  <c r="BC18" i="17"/>
  <c r="BC25" i="17"/>
  <c r="BD7" i="17"/>
  <c r="BD9" i="17" s="1"/>
  <c r="BC12" i="17"/>
  <c r="BC32" i="17"/>
  <c r="BC15" i="17"/>
  <c r="BC22" i="17"/>
  <c r="BC28" i="17"/>
  <c r="BC31" i="17"/>
  <c r="BC13" i="17"/>
  <c r="BC16" i="17"/>
  <c r="BC33" i="17"/>
  <c r="BC19" i="17"/>
  <c r="BC23" i="17"/>
  <c r="BC14" i="17"/>
  <c r="BC20" i="17"/>
  <c r="BC27" i="17"/>
  <c r="BC11" i="17"/>
  <c r="BC29" i="17"/>
  <c r="BC26" i="17"/>
  <c r="BC30" i="17"/>
  <c r="BB19" i="18"/>
  <c r="BB12" i="18"/>
  <c r="BB26" i="18"/>
  <c r="BB22" i="18"/>
  <c r="BB28" i="18"/>
  <c r="BB25" i="18"/>
  <c r="BB35" i="18"/>
  <c r="BB30" i="18"/>
  <c r="BB20" i="18"/>
  <c r="BB27" i="18"/>
  <c r="BB33" i="18"/>
  <c r="BB14" i="18"/>
  <c r="BB23" i="18"/>
  <c r="BB16" i="18"/>
  <c r="BB13" i="18"/>
  <c r="BB31" i="18"/>
  <c r="BB15" i="18"/>
  <c r="BB18" i="18"/>
  <c r="BB32" i="18"/>
  <c r="BB11" i="18"/>
  <c r="BB21" i="18"/>
  <c r="BB24" i="18"/>
  <c r="BB34" i="18"/>
  <c r="BC7" i="18"/>
  <c r="BC9" i="18" s="1"/>
  <c r="BB17" i="18"/>
  <c r="BB29" i="18"/>
  <c r="BD24" i="17" l="1"/>
  <c r="BD30" i="17"/>
  <c r="BD26" i="17"/>
  <c r="BD25" i="17"/>
  <c r="BD32" i="17"/>
  <c r="BD14" i="17"/>
  <c r="BD31" i="17"/>
  <c r="BD15" i="17"/>
  <c r="BD18" i="17"/>
  <c r="BD16" i="17"/>
  <c r="BD22" i="17"/>
  <c r="BD11" i="17"/>
  <c r="BD20" i="17"/>
  <c r="BD35" i="17"/>
  <c r="BD23" i="17"/>
  <c r="BD28" i="17"/>
  <c r="BD27" i="17"/>
  <c r="BE7" i="17"/>
  <c r="BE9" i="17" s="1"/>
  <c r="BD29" i="17"/>
  <c r="BD33" i="17"/>
  <c r="BD12" i="17"/>
  <c r="BD17" i="17"/>
  <c r="BD13" i="17"/>
  <c r="BD19" i="17"/>
  <c r="BD21" i="17"/>
  <c r="BD34" i="17"/>
  <c r="BC35" i="18"/>
  <c r="BD7" i="18"/>
  <c r="BD9" i="18" s="1"/>
  <c r="BC12" i="18"/>
  <c r="BC13" i="18"/>
  <c r="BC14" i="18"/>
  <c r="BC21" i="18"/>
  <c r="BC25" i="18"/>
  <c r="BC26" i="18"/>
  <c r="BC22" i="18"/>
  <c r="BC24" i="18"/>
  <c r="BC28" i="18"/>
  <c r="BC15" i="18"/>
  <c r="BC29" i="18"/>
  <c r="BC11" i="18"/>
  <c r="BC16" i="18"/>
  <c r="BC30" i="18"/>
  <c r="BC18" i="18"/>
  <c r="BC17" i="18"/>
  <c r="BC31" i="18"/>
  <c r="BC32" i="18"/>
  <c r="BC19" i="18"/>
  <c r="BC23" i="18"/>
  <c r="BC33" i="18"/>
  <c r="BC20" i="18"/>
  <c r="BC27" i="18"/>
  <c r="BC34" i="18"/>
  <c r="BE32" i="17" l="1"/>
  <c r="BE11" i="17"/>
  <c r="BE19" i="17"/>
  <c r="BE24" i="17"/>
  <c r="BE28" i="17"/>
  <c r="BE29" i="17"/>
  <c r="BE16" i="17"/>
  <c r="BE17" i="17"/>
  <c r="BE31" i="17"/>
  <c r="BE21" i="17"/>
  <c r="BE33" i="17"/>
  <c r="BE30" i="17"/>
  <c r="BE18" i="17"/>
  <c r="BE35" i="17"/>
  <c r="BF7" i="17"/>
  <c r="BF9" i="17" s="1"/>
  <c r="BE34" i="17"/>
  <c r="BE20" i="17"/>
  <c r="BE25" i="17"/>
  <c r="BE15" i="17"/>
  <c r="BE22" i="17"/>
  <c r="BD13" i="18"/>
  <c r="BE12" i="17"/>
  <c r="BE13" i="17"/>
  <c r="BE26" i="17"/>
  <c r="BE14" i="17"/>
  <c r="BE23" i="17"/>
  <c r="BE27" i="17"/>
  <c r="BD34" i="18"/>
  <c r="BD35" i="18"/>
  <c r="BD11" i="18"/>
  <c r="BD14" i="18"/>
  <c r="BD21" i="18"/>
  <c r="BD25" i="18"/>
  <c r="BD26" i="18"/>
  <c r="BD22" i="18"/>
  <c r="BE7" i="18"/>
  <c r="BE9" i="18" s="1"/>
  <c r="BD19" i="18"/>
  <c r="BD30" i="18"/>
  <c r="BD16" i="18"/>
  <c r="BD15" i="18"/>
  <c r="BD31" i="18"/>
  <c r="BD18" i="18"/>
  <c r="BD29" i="18"/>
  <c r="BD20" i="18"/>
  <c r="BD32" i="18"/>
  <c r="BD12" i="18"/>
  <c r="BD24" i="18"/>
  <c r="BD33" i="18"/>
  <c r="BD17" i="18"/>
  <c r="BD28" i="18"/>
  <c r="BD23" i="18"/>
  <c r="BD27" i="18"/>
  <c r="BF13" i="17" l="1"/>
  <c r="BF12" i="17"/>
  <c r="BF23" i="17"/>
  <c r="BF32" i="17"/>
  <c r="BF25" i="17"/>
  <c r="BF15" i="17"/>
  <c r="BF14" i="17"/>
  <c r="BF27" i="17"/>
  <c r="BF17" i="17"/>
  <c r="BF29" i="17"/>
  <c r="BF35" i="17"/>
  <c r="BF16" i="17"/>
  <c r="BF11" i="17"/>
  <c r="BF30" i="17"/>
  <c r="BF33" i="17"/>
  <c r="BF19" i="17"/>
  <c r="BF24" i="17"/>
  <c r="BF21" i="17"/>
  <c r="BF20" i="17"/>
  <c r="BF22" i="17"/>
  <c r="BF31" i="17"/>
  <c r="BF6" i="17"/>
  <c r="BF26" i="17"/>
  <c r="BF34" i="17"/>
  <c r="BG7" i="17"/>
  <c r="BG9" i="17" s="1"/>
  <c r="BF18" i="17"/>
  <c r="BF28" i="17"/>
  <c r="BE24" i="18"/>
  <c r="BE17" i="18"/>
  <c r="BE32" i="18"/>
  <c r="BE22" i="18"/>
  <c r="BE15" i="18"/>
  <c r="BE28" i="18"/>
  <c r="BE18" i="18"/>
  <c r="BE12" i="18"/>
  <c r="BE29" i="18"/>
  <c r="BE13" i="18"/>
  <c r="BE25" i="18"/>
  <c r="BE34" i="18"/>
  <c r="BE21" i="18"/>
  <c r="BE11" i="18"/>
  <c r="BE30" i="18"/>
  <c r="BE31" i="18"/>
  <c r="BE20" i="18"/>
  <c r="BE14" i="18"/>
  <c r="BE33" i="18"/>
  <c r="BE27" i="18"/>
  <c r="BE19" i="18"/>
  <c r="BE35" i="18"/>
  <c r="BF7" i="18"/>
  <c r="BF9" i="18" s="1"/>
  <c r="BE16" i="18"/>
  <c r="BE23" i="18"/>
  <c r="BE26" i="18"/>
  <c r="BG19" i="17" l="1"/>
  <c r="BG13" i="17"/>
  <c r="BG18" i="17"/>
  <c r="BG35" i="17"/>
  <c r="BG21" i="17"/>
  <c r="BG24" i="17"/>
  <c r="BG28" i="17"/>
  <c r="BG26" i="17"/>
  <c r="BG14" i="17"/>
  <c r="BG27" i="17"/>
  <c r="BG23" i="17"/>
  <c r="BH7" i="17"/>
  <c r="BH9" i="17" s="1"/>
  <c r="BG25" i="17"/>
  <c r="BG20" i="17"/>
  <c r="BG30" i="17"/>
  <c r="BG16" i="17"/>
  <c r="BG34" i="17"/>
  <c r="BG11" i="17"/>
  <c r="BG17" i="17"/>
  <c r="BG32" i="17"/>
  <c r="BG12" i="17"/>
  <c r="BG29" i="17"/>
  <c r="BG31" i="17"/>
  <c r="BG15" i="17"/>
  <c r="BG22" i="17"/>
  <c r="BG33" i="17"/>
  <c r="BF18" i="18"/>
  <c r="BF27" i="18"/>
  <c r="BF14" i="18"/>
  <c r="BF24" i="18"/>
  <c r="BF19" i="18"/>
  <c r="BF25" i="18"/>
  <c r="BF12" i="18"/>
  <c r="BF31" i="18"/>
  <c r="BF23" i="18"/>
  <c r="BF6" i="18"/>
  <c r="BF15" i="18"/>
  <c r="BF26" i="18"/>
  <c r="BF22" i="18"/>
  <c r="BF30" i="18"/>
  <c r="BF13" i="18"/>
  <c r="BF32" i="18"/>
  <c r="BF33" i="18"/>
  <c r="BG7" i="18"/>
  <c r="BG9" i="18" s="1"/>
  <c r="BF21" i="18"/>
  <c r="BF34" i="18"/>
  <c r="BF11" i="18"/>
  <c r="BF20" i="18"/>
  <c r="BF28" i="18"/>
  <c r="BF35" i="18"/>
  <c r="BF16" i="18"/>
  <c r="BF17" i="18"/>
  <c r="BF29" i="18"/>
  <c r="BH22" i="17" l="1"/>
  <c r="BH28" i="17"/>
  <c r="BH24" i="17"/>
  <c r="BH18" i="17"/>
  <c r="BH35" i="17"/>
  <c r="BH29" i="17"/>
  <c r="BH14" i="17"/>
  <c r="BH19" i="17"/>
  <c r="BH15" i="17"/>
  <c r="BH20" i="17"/>
  <c r="BH26" i="17"/>
  <c r="BH23" i="17"/>
  <c r="BH31" i="17"/>
  <c r="BH27" i="17"/>
  <c r="BH16" i="17"/>
  <c r="BH32" i="17"/>
  <c r="BH30" i="17"/>
  <c r="BH11" i="17"/>
  <c r="BI7" i="17"/>
  <c r="BI9" i="17" s="1"/>
  <c r="BH17" i="17"/>
  <c r="BH33" i="17"/>
  <c r="BH25" i="17"/>
  <c r="BH13" i="17"/>
  <c r="BH12" i="17"/>
  <c r="BH21" i="17"/>
  <c r="BH34" i="17"/>
  <c r="BG13" i="18"/>
  <c r="BG27" i="18"/>
  <c r="BH7" i="18"/>
  <c r="BH9" i="18" s="1"/>
  <c r="BG24" i="18"/>
  <c r="BG19" i="18"/>
  <c r="BG29" i="18"/>
  <c r="BG15" i="18"/>
  <c r="BG20" i="18"/>
  <c r="BG30" i="18"/>
  <c r="BG21" i="18"/>
  <c r="BG16" i="18"/>
  <c r="BG32" i="18"/>
  <c r="BG25" i="18"/>
  <c r="BG17" i="18"/>
  <c r="BG35" i="18"/>
  <c r="BG14" i="18"/>
  <c r="BG28" i="18"/>
  <c r="BG11" i="18"/>
  <c r="BG26" i="18"/>
  <c r="BG12" i="18"/>
  <c r="BG22" i="18"/>
  <c r="BG33" i="18"/>
  <c r="BG18" i="18"/>
  <c r="BG23" i="18"/>
  <c r="BG34" i="18"/>
  <c r="BG31" i="18"/>
  <c r="BH35" i="18" l="1"/>
  <c r="BI18" i="17"/>
  <c r="BI23" i="17"/>
  <c r="BI19" i="17"/>
  <c r="BI34" i="17"/>
  <c r="BI28" i="17"/>
  <c r="BI25" i="17"/>
  <c r="BI12" i="17"/>
  <c r="BI26" i="17"/>
  <c r="BI15" i="17"/>
  <c r="BI20" i="17"/>
  <c r="BI14" i="17"/>
  <c r="BI13" i="17"/>
  <c r="BI24" i="17"/>
  <c r="BI29" i="17"/>
  <c r="BJ7" i="17"/>
  <c r="BJ9" i="17" s="1"/>
  <c r="BI11" i="17"/>
  <c r="BI27" i="17"/>
  <c r="BI33" i="17"/>
  <c r="BI21" i="17"/>
  <c r="BI35" i="17"/>
  <c r="BI31" i="17"/>
  <c r="BI16" i="17"/>
  <c r="BI30" i="17"/>
  <c r="BI17" i="17"/>
  <c r="BI22" i="17"/>
  <c r="BI32" i="17"/>
  <c r="BH14" i="18"/>
  <c r="BH29" i="18"/>
  <c r="BH22" i="18"/>
  <c r="BH19" i="18"/>
  <c r="BH16" i="18"/>
  <c r="BH15" i="18"/>
  <c r="BH27" i="18"/>
  <c r="BI7" i="18"/>
  <c r="BI9" i="18" s="1"/>
  <c r="BH20" i="18"/>
  <c r="BH30" i="18"/>
  <c r="BH11" i="18"/>
  <c r="BH28" i="18"/>
  <c r="BH31" i="18"/>
  <c r="BH13" i="18"/>
  <c r="BH25" i="18"/>
  <c r="BH32" i="18"/>
  <c r="BH17" i="18"/>
  <c r="BH23" i="18"/>
  <c r="BH18" i="18"/>
  <c r="BH21" i="18"/>
  <c r="BH33" i="18"/>
  <c r="BH12" i="18"/>
  <c r="BH24" i="18"/>
  <c r="BH26" i="18"/>
  <c r="BH34" i="18"/>
  <c r="BJ19" i="17" l="1"/>
  <c r="BK7" i="17"/>
  <c r="BK9" i="17" s="1"/>
  <c r="BJ23" i="17"/>
  <c r="BJ12" i="17"/>
  <c r="BJ29" i="17"/>
  <c r="BJ16" i="17"/>
  <c r="BJ32" i="17"/>
  <c r="BJ17" i="17"/>
  <c r="BJ26" i="17"/>
  <c r="BJ14" i="17"/>
  <c r="BJ25" i="17"/>
  <c r="BJ22" i="17"/>
  <c r="BJ20" i="17"/>
  <c r="BJ28" i="17"/>
  <c r="BJ30" i="17"/>
  <c r="BJ11" i="17"/>
  <c r="BJ18" i="17"/>
  <c r="BJ31" i="17"/>
  <c r="BJ34" i="17"/>
  <c r="BJ13" i="17"/>
  <c r="BJ24" i="17"/>
  <c r="BJ33" i="17"/>
  <c r="BJ15" i="17"/>
  <c r="BJ21" i="17"/>
  <c r="BJ27" i="17"/>
  <c r="BJ35" i="17"/>
  <c r="BI35" i="18"/>
  <c r="BI33" i="18"/>
  <c r="BI22" i="18"/>
  <c r="BI23" i="18"/>
  <c r="BI27" i="18"/>
  <c r="BI18" i="18"/>
  <c r="BJ7" i="18"/>
  <c r="BJ9" i="18" s="1"/>
  <c r="BI29" i="18"/>
  <c r="BI12" i="18"/>
  <c r="BI30" i="18"/>
  <c r="BI11" i="18"/>
  <c r="BI32" i="18"/>
  <c r="BI20" i="18"/>
  <c r="BI34" i="18"/>
  <c r="BI15" i="18"/>
  <c r="BI25" i="18"/>
  <c r="BI13" i="18"/>
  <c r="BI14" i="18"/>
  <c r="BI21" i="18"/>
  <c r="BI16" i="18"/>
  <c r="BI19" i="18"/>
  <c r="BI26" i="18"/>
  <c r="BI24" i="18"/>
  <c r="BI17" i="18"/>
  <c r="BI28" i="18"/>
  <c r="BI31" i="18"/>
  <c r="BK13" i="17" l="1"/>
  <c r="BK27" i="17"/>
  <c r="BK20" i="17"/>
  <c r="BK23" i="17"/>
  <c r="BK28" i="17"/>
  <c r="BK26" i="17"/>
  <c r="BK14" i="17"/>
  <c r="BK16" i="17"/>
  <c r="BK30" i="17"/>
  <c r="BK21" i="17"/>
  <c r="BK25" i="17"/>
  <c r="BK19" i="17"/>
  <c r="BK34" i="17"/>
  <c r="BK11" i="17"/>
  <c r="BK15" i="17"/>
  <c r="BK31" i="17"/>
  <c r="BK12" i="17"/>
  <c r="BK33" i="17"/>
  <c r="BK18" i="17"/>
  <c r="BK24" i="17"/>
  <c r="BK22" i="17"/>
  <c r="BK32" i="17"/>
  <c r="BK35" i="17"/>
  <c r="BL7" i="17"/>
  <c r="BL9" i="17" s="1"/>
  <c r="BK17" i="17"/>
  <c r="BK29" i="17"/>
  <c r="BJ23" i="18"/>
  <c r="BJ13" i="18"/>
  <c r="BJ22" i="18"/>
  <c r="BJ18" i="18"/>
  <c r="BJ29" i="18"/>
  <c r="BJ14" i="18"/>
  <c r="BJ25" i="18"/>
  <c r="BJ19" i="18"/>
  <c r="BJ30" i="18"/>
  <c r="BJ12" i="18"/>
  <c r="BJ16" i="18"/>
  <c r="BJ31" i="18"/>
  <c r="BJ15" i="18"/>
  <c r="BJ26" i="18"/>
  <c r="BJ32" i="18"/>
  <c r="BJ20" i="18"/>
  <c r="BJ27" i="18"/>
  <c r="BJ33" i="18"/>
  <c r="BJ11" i="18"/>
  <c r="BJ21" i="18"/>
  <c r="BJ24" i="18"/>
  <c r="BJ34" i="18"/>
  <c r="BK7" i="18"/>
  <c r="BK9" i="18" s="1"/>
  <c r="BJ17" i="18"/>
  <c r="BJ28" i="18"/>
  <c r="BJ35" i="18"/>
  <c r="BL16" i="17" l="1"/>
  <c r="BL17" i="17"/>
  <c r="BL30" i="17"/>
  <c r="BL21" i="17"/>
  <c r="BL31" i="17"/>
  <c r="BL32" i="17"/>
  <c r="BL14" i="17"/>
  <c r="BL11" i="17"/>
  <c r="BL18" i="17"/>
  <c r="BL22" i="17"/>
  <c r="BL15" i="17"/>
  <c r="BL19" i="17"/>
  <c r="BL27" i="17"/>
  <c r="BL34" i="17"/>
  <c r="BL12" i="17"/>
  <c r="BL25" i="17"/>
  <c r="BL33" i="17"/>
  <c r="BL13" i="17"/>
  <c r="BL24" i="17"/>
  <c r="BL28" i="17"/>
  <c r="BL35" i="17"/>
  <c r="BL26" i="17"/>
  <c r="BL23" i="17"/>
  <c r="BL20" i="17"/>
  <c r="BL29" i="17"/>
  <c r="BK11" i="18"/>
  <c r="BL7" i="18"/>
  <c r="BL9" i="18" s="1"/>
  <c r="BK27" i="18"/>
  <c r="BK24" i="18"/>
  <c r="BK15" i="18"/>
  <c r="BK19" i="18"/>
  <c r="BK29" i="18"/>
  <c r="BK34" i="18"/>
  <c r="BK20" i="18"/>
  <c r="BK35" i="18"/>
  <c r="BK28" i="18"/>
  <c r="BK26" i="18"/>
  <c r="BK25" i="18"/>
  <c r="BK23" i="18"/>
  <c r="BK13" i="18"/>
  <c r="BK21" i="18"/>
  <c r="BK31" i="18"/>
  <c r="BK18" i="18"/>
  <c r="BK16" i="18"/>
  <c r="BK33" i="18"/>
  <c r="BK12" i="18"/>
  <c r="BK17" i="18"/>
  <c r="BK30" i="18"/>
  <c r="BK14" i="18"/>
  <c r="BK22" i="18"/>
  <c r="BK32" i="18"/>
  <c r="BL18" i="18" l="1"/>
  <c r="BL23" i="18"/>
  <c r="BL27" i="18"/>
  <c r="BL15" i="18"/>
  <c r="BL30" i="18"/>
  <c r="BL13" i="18"/>
  <c r="BL24" i="18"/>
  <c r="BL31" i="18"/>
  <c r="BL19" i="18"/>
  <c r="BL12" i="18"/>
  <c r="BL25" i="18"/>
  <c r="BL32" i="18"/>
  <c r="BL11" i="18"/>
  <c r="BL21" i="18"/>
  <c r="BL33" i="18"/>
  <c r="BL16" i="18"/>
  <c r="BL14" i="18"/>
  <c r="BL26" i="18"/>
  <c r="BL34" i="18"/>
  <c r="BL28" i="18"/>
  <c r="BL22" i="18"/>
  <c r="BL35" i="18"/>
  <c r="BL17" i="18"/>
  <c r="BL20" i="18"/>
  <c r="BL29" i="18"/>
  <c r="I7" i="16" l="1"/>
  <c r="I12" i="16" l="1"/>
  <c r="I20" i="16"/>
  <c r="I13" i="16"/>
  <c r="I21" i="16"/>
  <c r="I14" i="16"/>
  <c r="I22" i="16"/>
  <c r="I15" i="16"/>
  <c r="I23" i="16"/>
  <c r="I16" i="16"/>
  <c r="I24" i="16"/>
  <c r="I17" i="16"/>
  <c r="I18" i="16"/>
  <c r="I19" i="16"/>
  <c r="I28" i="16"/>
  <c r="I29" i="16"/>
  <c r="I30" i="16"/>
  <c r="I33" i="16"/>
  <c r="I31" i="16"/>
  <c r="I32" i="16"/>
  <c r="I25" i="16"/>
  <c r="I26" i="16"/>
  <c r="I34" i="16"/>
  <c r="I27" i="16"/>
  <c r="I35" i="16"/>
  <c r="I9" i="16"/>
  <c r="I6" i="16"/>
  <c r="J7" i="16"/>
  <c r="I11" i="16"/>
  <c r="J11" i="16" l="1"/>
  <c r="J19" i="16"/>
  <c r="J12" i="16"/>
  <c r="J20" i="16"/>
  <c r="J13" i="16"/>
  <c r="J21" i="16"/>
  <c r="J14" i="16"/>
  <c r="J22" i="16"/>
  <c r="J15" i="16"/>
  <c r="J23" i="16"/>
  <c r="J16" i="16"/>
  <c r="J24" i="16"/>
  <c r="J17" i="16"/>
  <c r="J18" i="16"/>
  <c r="J27" i="16"/>
  <c r="J35" i="16"/>
  <c r="J32" i="16"/>
  <c r="J28" i="16"/>
  <c r="J29" i="16"/>
  <c r="J30" i="16"/>
  <c r="J31" i="16"/>
  <c r="J25" i="16"/>
  <c r="J33" i="16"/>
  <c r="J26" i="16"/>
  <c r="J34" i="16"/>
  <c r="J9" i="16"/>
  <c r="K7" i="16"/>
  <c r="K11" i="16" l="1"/>
  <c r="K18" i="16"/>
  <c r="K19" i="16"/>
  <c r="K12" i="16"/>
  <c r="K20" i="16"/>
  <c r="K13" i="16"/>
  <c r="K21" i="16"/>
  <c r="K14" i="16"/>
  <c r="K22" i="16"/>
  <c r="K15" i="16"/>
  <c r="K23" i="16"/>
  <c r="K16" i="16"/>
  <c r="K24" i="16"/>
  <c r="K17" i="16"/>
  <c r="K26" i="16"/>
  <c r="K34" i="16"/>
  <c r="K32" i="16"/>
  <c r="K27" i="16"/>
  <c r="K35" i="16"/>
  <c r="K31" i="16"/>
  <c r="K28" i="16"/>
  <c r="K29" i="16"/>
  <c r="K30" i="16"/>
  <c r="K25" i="16"/>
  <c r="K33" i="16"/>
  <c r="K9" i="16"/>
  <c r="L7" i="16"/>
  <c r="L11" i="16" l="1"/>
  <c r="L17" i="16"/>
  <c r="L18" i="16"/>
  <c r="L19" i="16"/>
  <c r="L12" i="16"/>
  <c r="L20" i="16"/>
  <c r="L13" i="16"/>
  <c r="L21" i="16"/>
  <c r="L14" i="16"/>
  <c r="L22" i="16"/>
  <c r="L15" i="16"/>
  <c r="L23" i="16"/>
  <c r="L16" i="16"/>
  <c r="L24" i="16"/>
  <c r="L25" i="16"/>
  <c r="L33" i="16"/>
  <c r="L26" i="16"/>
  <c r="L34" i="16"/>
  <c r="L27" i="16"/>
  <c r="L35" i="16"/>
  <c r="L28" i="16"/>
  <c r="L29" i="16"/>
  <c r="L30" i="16"/>
  <c r="L31" i="16"/>
  <c r="L32" i="16"/>
  <c r="L9" i="16"/>
  <c r="M7" i="16"/>
  <c r="M11" i="16" l="1"/>
  <c r="M16" i="16"/>
  <c r="M24" i="16"/>
  <c r="M17" i="16"/>
  <c r="M18" i="16"/>
  <c r="M19" i="16"/>
  <c r="M12" i="16"/>
  <c r="M20" i="16"/>
  <c r="M13" i="16"/>
  <c r="M21" i="16"/>
  <c r="M14" i="16"/>
  <c r="M22" i="16"/>
  <c r="M15" i="16"/>
  <c r="M23" i="16"/>
  <c r="M32" i="16"/>
  <c r="M25" i="16"/>
  <c r="M33" i="16"/>
  <c r="M26" i="16"/>
  <c r="M34" i="16"/>
  <c r="M29" i="16"/>
  <c r="M27" i="16"/>
  <c r="M35" i="16"/>
  <c r="M28" i="16"/>
  <c r="M30" i="16"/>
  <c r="M31" i="16"/>
  <c r="M9" i="16"/>
  <c r="N7" i="16"/>
  <c r="N11" i="16" l="1"/>
  <c r="N15" i="16"/>
  <c r="N23" i="16"/>
  <c r="N16" i="16"/>
  <c r="N24" i="16"/>
  <c r="N17" i="16"/>
  <c r="N18" i="16"/>
  <c r="N19" i="16"/>
  <c r="N12" i="16"/>
  <c r="N20" i="16"/>
  <c r="N13" i="16"/>
  <c r="N21" i="16"/>
  <c r="N14" i="16"/>
  <c r="N22" i="16"/>
  <c r="N31" i="16"/>
  <c r="N32" i="16"/>
  <c r="N25" i="16"/>
  <c r="N33" i="16"/>
  <c r="N26" i="16"/>
  <c r="N34" i="16"/>
  <c r="N27" i="16"/>
  <c r="N35" i="16"/>
  <c r="N28" i="16"/>
  <c r="N29" i="16"/>
  <c r="N30" i="16"/>
  <c r="N9" i="16"/>
  <c r="O7" i="16"/>
  <c r="O11" i="16" l="1"/>
  <c r="O14" i="16"/>
  <c r="O22" i="16"/>
  <c r="O15" i="16"/>
  <c r="O23" i="16"/>
  <c r="O16" i="16"/>
  <c r="O24" i="16"/>
  <c r="O17" i="16"/>
  <c r="O18" i="16"/>
  <c r="O19" i="16"/>
  <c r="O12" i="16"/>
  <c r="O20" i="16"/>
  <c r="O13" i="16"/>
  <c r="O21" i="16"/>
  <c r="O30" i="16"/>
  <c r="O35" i="16"/>
  <c r="O31" i="16"/>
  <c r="O32" i="16"/>
  <c r="O25" i="16"/>
  <c r="O33" i="16"/>
  <c r="O26" i="16"/>
  <c r="O34" i="16"/>
  <c r="O27" i="16"/>
  <c r="O28" i="16"/>
  <c r="O29" i="16"/>
  <c r="O9" i="16"/>
  <c r="P7" i="16"/>
  <c r="P11" i="16" l="1"/>
  <c r="P13" i="16"/>
  <c r="P21" i="16"/>
  <c r="P14" i="16"/>
  <c r="P22" i="16"/>
  <c r="P15" i="16"/>
  <c r="P23" i="16"/>
  <c r="P16" i="16"/>
  <c r="P24" i="16"/>
  <c r="P17" i="16"/>
  <c r="P18" i="16"/>
  <c r="P19" i="16"/>
  <c r="P12" i="16"/>
  <c r="P20" i="16"/>
  <c r="P29" i="16"/>
  <c r="P30" i="16"/>
  <c r="P34" i="16"/>
  <c r="P35" i="16"/>
  <c r="P31" i="16"/>
  <c r="P32" i="16"/>
  <c r="P26" i="16"/>
  <c r="P25" i="16"/>
  <c r="P33" i="16"/>
  <c r="P27" i="16"/>
  <c r="P28" i="16"/>
  <c r="P9" i="16"/>
  <c r="P6" i="16"/>
  <c r="Q7" i="16"/>
  <c r="Q11" i="16" l="1"/>
  <c r="Q12" i="16"/>
  <c r="Q20" i="16"/>
  <c r="Q13" i="16"/>
  <c r="Q21" i="16"/>
  <c r="Q14" i="16"/>
  <c r="Q22" i="16"/>
  <c r="Q15" i="16"/>
  <c r="Q23" i="16"/>
  <c r="Q16" i="16"/>
  <c r="Q17" i="16"/>
  <c r="Q18" i="16"/>
  <c r="Q19" i="16"/>
  <c r="Q28" i="16"/>
  <c r="Q25" i="16"/>
  <c r="Q29" i="16"/>
  <c r="Q30" i="16"/>
  <c r="Q31" i="16"/>
  <c r="Q24" i="16"/>
  <c r="Q32" i="16"/>
  <c r="Q33" i="16"/>
  <c r="Q26" i="16"/>
  <c r="Q34" i="16"/>
  <c r="Q27" i="16"/>
  <c r="Q35" i="16"/>
  <c r="Q9" i="16"/>
  <c r="R7" i="16"/>
  <c r="R11" i="16" l="1"/>
  <c r="R19" i="16"/>
  <c r="R12" i="16"/>
  <c r="R20" i="16"/>
  <c r="R13" i="16"/>
  <c r="R21" i="16"/>
  <c r="R14" i="16"/>
  <c r="R22" i="16"/>
  <c r="R15" i="16"/>
  <c r="R23" i="16"/>
  <c r="R16" i="16"/>
  <c r="R17" i="16"/>
  <c r="R18" i="16"/>
  <c r="R27" i="16"/>
  <c r="R35" i="16"/>
  <c r="R24" i="16"/>
  <c r="R28" i="16"/>
  <c r="R29" i="16"/>
  <c r="R32" i="16"/>
  <c r="R30" i="16"/>
  <c r="R31" i="16"/>
  <c r="R25" i="16"/>
  <c r="R33" i="16"/>
  <c r="R26" i="16"/>
  <c r="R34" i="16"/>
  <c r="R9" i="16"/>
  <c r="S7" i="16"/>
  <c r="S11" i="16" l="1"/>
  <c r="S18" i="16"/>
  <c r="S19" i="16"/>
  <c r="S12" i="16"/>
  <c r="S20" i="16"/>
  <c r="S13" i="16"/>
  <c r="S21" i="16"/>
  <c r="S14" i="16"/>
  <c r="S22" i="16"/>
  <c r="S15" i="16"/>
  <c r="S23" i="16"/>
  <c r="S16" i="16"/>
  <c r="S17" i="16"/>
  <c r="S26" i="16"/>
  <c r="S34" i="16"/>
  <c r="S27" i="16"/>
  <c r="S35" i="16"/>
  <c r="S28" i="16"/>
  <c r="S29" i="16"/>
  <c r="S31" i="16"/>
  <c r="S30" i="16"/>
  <c r="S24" i="16"/>
  <c r="S32" i="16"/>
  <c r="S25" i="16"/>
  <c r="S33" i="16"/>
  <c r="S9" i="16"/>
  <c r="T7" i="16"/>
  <c r="T11" i="16" l="1"/>
  <c r="T17" i="16"/>
  <c r="T18" i="16"/>
  <c r="T19" i="16"/>
  <c r="T12" i="16"/>
  <c r="T20" i="16"/>
  <c r="T13" i="16"/>
  <c r="T21" i="16"/>
  <c r="T14" i="16"/>
  <c r="T22" i="16"/>
  <c r="T15" i="16"/>
  <c r="T23" i="16"/>
  <c r="T16" i="16"/>
  <c r="T25" i="16"/>
  <c r="T33" i="16"/>
  <c r="T26" i="16"/>
  <c r="T34" i="16"/>
  <c r="T30" i="16"/>
  <c r="T27" i="16"/>
  <c r="T35" i="16"/>
  <c r="T28" i="16"/>
  <c r="T29" i="16"/>
  <c r="T31" i="16"/>
  <c r="T24" i="16"/>
  <c r="T32" i="16"/>
  <c r="T9" i="16"/>
  <c r="U7" i="16"/>
  <c r="U11" i="16" l="1"/>
  <c r="U16" i="16"/>
  <c r="U17" i="16"/>
  <c r="U18" i="16"/>
  <c r="U19" i="16"/>
  <c r="U12" i="16"/>
  <c r="U20" i="16"/>
  <c r="U13" i="16"/>
  <c r="U21" i="16"/>
  <c r="U14" i="16"/>
  <c r="U22" i="16"/>
  <c r="U15" i="16"/>
  <c r="U23" i="16"/>
  <c r="U24" i="16"/>
  <c r="U32" i="16"/>
  <c r="U25" i="16"/>
  <c r="U33" i="16"/>
  <c r="U29" i="16"/>
  <c r="U26" i="16"/>
  <c r="U34" i="16"/>
  <c r="U27" i="16"/>
  <c r="U35" i="16"/>
  <c r="U28" i="16"/>
  <c r="U30" i="16"/>
  <c r="U31" i="16"/>
  <c r="U9" i="16"/>
  <c r="V7" i="16"/>
  <c r="V11" i="16" l="1"/>
  <c r="V15" i="16"/>
  <c r="V23" i="16"/>
  <c r="V16" i="16"/>
  <c r="V17" i="16"/>
  <c r="V18" i="16"/>
  <c r="V19" i="16"/>
  <c r="V12" i="16"/>
  <c r="V20" i="16"/>
  <c r="V13" i="16"/>
  <c r="V21" i="16"/>
  <c r="V14" i="16"/>
  <c r="V22" i="16"/>
  <c r="V31" i="16"/>
  <c r="V24" i="16"/>
  <c r="V32" i="16"/>
  <c r="V28" i="16"/>
  <c r="V25" i="16"/>
  <c r="V33" i="16"/>
  <c r="V26" i="16"/>
  <c r="V34" i="16"/>
  <c r="V27" i="16"/>
  <c r="V35" i="16"/>
  <c r="V29" i="16"/>
  <c r="V30" i="16"/>
  <c r="V9" i="16"/>
  <c r="W7" i="16"/>
  <c r="W11" i="16" l="1"/>
  <c r="W14" i="16"/>
  <c r="W22" i="16"/>
  <c r="W15" i="16"/>
  <c r="W23" i="16"/>
  <c r="W16" i="16"/>
  <c r="W17" i="16"/>
  <c r="W18" i="16"/>
  <c r="W19" i="16"/>
  <c r="W12" i="16"/>
  <c r="W20" i="16"/>
  <c r="W13" i="16"/>
  <c r="W21" i="16"/>
  <c r="W30" i="16"/>
  <c r="W31" i="16"/>
  <c r="W27" i="16"/>
  <c r="W35" i="16"/>
  <c r="W24" i="16"/>
  <c r="W32" i="16"/>
  <c r="W25" i="16"/>
  <c r="W33" i="16"/>
  <c r="W26" i="16"/>
  <c r="W34" i="16"/>
  <c r="W28" i="16"/>
  <c r="W29" i="16"/>
  <c r="W9" i="16"/>
  <c r="W6" i="16"/>
  <c r="X7" i="16"/>
  <c r="X11" i="16" l="1"/>
  <c r="X13" i="16"/>
  <c r="X21" i="16"/>
  <c r="X14" i="16"/>
  <c r="X22" i="16"/>
  <c r="X15" i="16"/>
  <c r="X23" i="16"/>
  <c r="X16" i="16"/>
  <c r="X17" i="16"/>
  <c r="X18" i="16"/>
  <c r="X19" i="16"/>
  <c r="X12" i="16"/>
  <c r="X20" i="16"/>
  <c r="X29" i="16"/>
  <c r="X35" i="16"/>
  <c r="X30" i="16"/>
  <c r="X31" i="16"/>
  <c r="X24" i="16"/>
  <c r="X32" i="16"/>
  <c r="X34" i="16"/>
  <c r="X25" i="16"/>
  <c r="X33" i="16"/>
  <c r="X26" i="16"/>
  <c r="X27" i="16"/>
  <c r="X28" i="16"/>
  <c r="X9" i="16"/>
  <c r="Y7" i="16"/>
  <c r="Y11" i="16" l="1"/>
  <c r="Y12" i="16"/>
  <c r="Y20" i="16"/>
  <c r="Y13" i="16"/>
  <c r="Y21" i="16"/>
  <c r="Y14" i="16"/>
  <c r="Y22" i="16"/>
  <c r="Y15" i="16"/>
  <c r="Y23" i="16"/>
  <c r="Y16" i="16"/>
  <c r="Y17" i="16"/>
  <c r="Y18" i="16"/>
  <c r="Y19" i="16"/>
  <c r="Y28" i="16"/>
  <c r="Y34" i="16"/>
  <c r="Y29" i="16"/>
  <c r="Y30" i="16"/>
  <c r="Y31" i="16"/>
  <c r="Y24" i="16"/>
  <c r="Y32" i="16"/>
  <c r="Y25" i="16"/>
  <c r="Y26" i="16"/>
  <c r="Y27" i="16"/>
  <c r="Y35" i="16"/>
  <c r="Y33" i="16"/>
  <c r="Y9" i="16"/>
  <c r="Z7" i="16"/>
  <c r="Z11" i="16" l="1"/>
  <c r="Z19" i="16"/>
  <c r="Z12" i="16"/>
  <c r="Z20" i="16"/>
  <c r="Z13" i="16"/>
  <c r="Z21" i="16"/>
  <c r="Z14" i="16"/>
  <c r="Z22" i="16"/>
  <c r="Z15" i="16"/>
  <c r="Z23" i="16"/>
  <c r="Z16" i="16"/>
  <c r="Z17" i="16"/>
  <c r="Z18" i="16"/>
  <c r="Z27" i="16"/>
  <c r="Z35" i="16"/>
  <c r="Z28" i="16"/>
  <c r="Z32" i="16"/>
  <c r="Z29" i="16"/>
  <c r="Z30" i="16"/>
  <c r="Z24" i="16"/>
  <c r="Z31" i="16"/>
  <c r="Z25" i="16"/>
  <c r="Z33" i="16"/>
  <c r="Z26" i="16"/>
  <c r="Z34" i="16"/>
  <c r="Z9" i="16"/>
  <c r="AA7" i="16"/>
  <c r="AA11" i="16" l="1"/>
  <c r="AA18" i="16"/>
  <c r="AA19" i="16"/>
  <c r="AA12" i="16"/>
  <c r="AA20" i="16"/>
  <c r="AA13" i="16"/>
  <c r="AA21" i="16"/>
  <c r="AA14" i="16"/>
  <c r="AA22" i="16"/>
  <c r="AA15" i="16"/>
  <c r="AA23" i="16"/>
  <c r="AA16" i="16"/>
  <c r="AA17" i="16"/>
  <c r="AA26" i="16"/>
  <c r="AA34" i="16"/>
  <c r="AA31" i="16"/>
  <c r="AA27" i="16"/>
  <c r="AA35" i="16"/>
  <c r="AA32" i="16"/>
  <c r="AA28" i="16"/>
  <c r="AA29" i="16"/>
  <c r="AA30" i="16"/>
  <c r="AA24" i="16"/>
  <c r="AA25" i="16"/>
  <c r="AA33" i="16"/>
  <c r="AA9" i="16"/>
  <c r="AB7" i="16"/>
  <c r="AB11" i="16" l="1"/>
  <c r="AB17" i="16"/>
  <c r="AB18" i="16"/>
  <c r="AB19" i="16"/>
  <c r="AB12" i="16"/>
  <c r="AB20" i="16"/>
  <c r="AB13" i="16"/>
  <c r="AB21" i="16"/>
  <c r="AB14" i="16"/>
  <c r="AB22" i="16"/>
  <c r="AB15" i="16"/>
  <c r="AB23" i="16"/>
  <c r="AB16" i="16"/>
  <c r="AB25" i="16"/>
  <c r="AB33" i="16"/>
  <c r="AB26" i="16"/>
  <c r="AB34" i="16"/>
  <c r="AB27" i="16"/>
  <c r="AB35" i="16"/>
  <c r="AB28" i="16"/>
  <c r="AB30" i="16"/>
  <c r="AB29" i="16"/>
  <c r="AB31" i="16"/>
  <c r="AB24" i="16"/>
  <c r="AB32" i="16"/>
  <c r="AB9" i="16"/>
  <c r="AC7" i="16"/>
  <c r="AC11" i="16" l="1"/>
  <c r="AC16" i="16"/>
  <c r="AC17" i="16"/>
  <c r="AC18" i="16"/>
  <c r="AC19" i="16"/>
  <c r="AC12" i="16"/>
  <c r="AC20" i="16"/>
  <c r="AC13" i="16"/>
  <c r="AC21" i="16"/>
  <c r="AC14" i="16"/>
  <c r="AC22" i="16"/>
  <c r="AC15" i="16"/>
  <c r="AC23" i="16"/>
  <c r="AC24" i="16"/>
  <c r="AC32" i="16"/>
  <c r="AC25" i="16"/>
  <c r="AC33" i="16"/>
  <c r="AC26" i="16"/>
  <c r="AC34" i="16"/>
  <c r="AC27" i="16"/>
  <c r="AC35" i="16"/>
  <c r="AC28" i="16"/>
  <c r="AC29" i="16"/>
  <c r="AC30" i="16"/>
  <c r="AC31" i="16"/>
  <c r="AC9" i="16"/>
  <c r="AD7" i="16"/>
  <c r="AD11" i="16" l="1"/>
  <c r="AD15" i="16"/>
  <c r="AD23" i="16"/>
  <c r="AD16" i="16"/>
  <c r="AD17" i="16"/>
  <c r="AD18" i="16"/>
  <c r="AD19" i="16"/>
  <c r="AD12" i="16"/>
  <c r="AD20" i="16"/>
  <c r="AD13" i="16"/>
  <c r="AD21" i="16"/>
  <c r="AD14" i="16"/>
  <c r="AD22" i="16"/>
  <c r="AD31" i="16"/>
  <c r="AD24" i="16"/>
  <c r="AD32" i="16"/>
  <c r="AD25" i="16"/>
  <c r="AD33" i="16"/>
  <c r="AD26" i="16"/>
  <c r="AD34" i="16"/>
  <c r="AD28" i="16"/>
  <c r="AD27" i="16"/>
  <c r="AD35" i="16"/>
  <c r="AD29" i="16"/>
  <c r="AD30" i="16"/>
  <c r="AD9" i="16"/>
  <c r="AD6" i="16"/>
  <c r="AE7" i="16"/>
  <c r="AE11" i="16" l="1"/>
  <c r="AE14" i="16"/>
  <c r="AE22" i="16"/>
  <c r="AE15" i="16"/>
  <c r="AE23" i="16"/>
  <c r="AE16" i="16"/>
  <c r="AE17" i="16"/>
  <c r="AE18" i="16"/>
  <c r="AE19" i="16"/>
  <c r="AE12" i="16"/>
  <c r="AE20" i="16"/>
  <c r="AE13" i="16"/>
  <c r="AE21" i="16"/>
  <c r="AE30" i="16"/>
  <c r="AE31" i="16"/>
  <c r="AE24" i="16"/>
  <c r="AE32" i="16"/>
  <c r="AE27" i="16"/>
  <c r="AE25" i="16"/>
  <c r="AE33" i="16"/>
  <c r="AE26" i="16"/>
  <c r="AE34" i="16"/>
  <c r="AE28" i="16"/>
  <c r="AE29" i="16"/>
  <c r="AE35" i="16"/>
  <c r="AE9" i="16"/>
  <c r="AF7" i="16"/>
  <c r="AF11" i="16" l="1"/>
  <c r="AF13" i="16"/>
  <c r="AF21" i="16"/>
  <c r="AF14" i="16"/>
  <c r="AF22" i="16"/>
  <c r="AF15" i="16"/>
  <c r="AF23" i="16"/>
  <c r="AF16" i="16"/>
  <c r="AF17" i="16"/>
  <c r="AF18" i="16"/>
  <c r="AF19" i="16"/>
  <c r="AF12" i="16"/>
  <c r="AF20" i="16"/>
  <c r="AF29" i="16"/>
  <c r="AF34" i="16"/>
  <c r="AF30" i="16"/>
  <c r="AF26" i="16"/>
  <c r="AF31" i="16"/>
  <c r="AF24" i="16"/>
  <c r="AF32" i="16"/>
  <c r="AF25" i="16"/>
  <c r="AF33" i="16"/>
  <c r="AF35" i="16"/>
  <c r="AF27" i="16"/>
  <c r="AF28" i="16"/>
  <c r="AF9" i="16"/>
  <c r="AG7" i="16"/>
  <c r="AG11" i="16" l="1"/>
  <c r="AG12" i="16"/>
  <c r="AG20" i="16"/>
  <c r="AG13" i="16"/>
  <c r="AG21" i="16"/>
  <c r="AG14" i="16"/>
  <c r="AG22" i="16"/>
  <c r="AG15" i="16"/>
  <c r="AG23" i="16"/>
  <c r="AG16" i="16"/>
  <c r="AG17" i="16"/>
  <c r="AG18" i="16"/>
  <c r="AG19" i="16"/>
  <c r="AG28" i="16"/>
  <c r="AG29" i="16"/>
  <c r="AG33" i="16"/>
  <c r="AG30" i="16"/>
  <c r="AG31" i="16"/>
  <c r="AG24" i="16"/>
  <c r="AG32" i="16"/>
  <c r="AG34" i="16"/>
  <c r="AG26" i="16"/>
  <c r="AG27" i="16"/>
  <c r="AG35" i="16"/>
  <c r="AG25" i="16"/>
  <c r="AG9" i="16"/>
  <c r="AH7" i="16"/>
  <c r="AH11" i="16" l="1"/>
  <c r="AH19" i="16"/>
  <c r="AH12" i="16"/>
  <c r="AH20" i="16"/>
  <c r="AH13" i="16"/>
  <c r="AH21" i="16"/>
  <c r="AH14" i="16"/>
  <c r="AH22" i="16"/>
  <c r="AH15" i="16"/>
  <c r="AH23" i="16"/>
  <c r="AH16" i="16"/>
  <c r="AH17" i="16"/>
  <c r="AH18" i="16"/>
  <c r="AH27" i="16"/>
  <c r="AH35" i="16"/>
  <c r="AH28" i="16"/>
  <c r="AH29" i="16"/>
  <c r="AH24" i="16"/>
  <c r="AH30" i="16"/>
  <c r="AH31" i="16"/>
  <c r="AH32" i="16"/>
  <c r="AH25" i="16"/>
  <c r="AH33" i="16"/>
  <c r="AH26" i="16"/>
  <c r="AH34" i="16"/>
  <c r="AH9" i="16"/>
  <c r="AI7" i="16"/>
  <c r="AI11" i="16" l="1"/>
  <c r="AI18" i="16"/>
  <c r="AI19" i="16"/>
  <c r="AI12" i="16"/>
  <c r="AI20" i="16"/>
  <c r="AI13" i="16"/>
  <c r="AI21" i="16"/>
  <c r="AI14" i="16"/>
  <c r="AI22" i="16"/>
  <c r="AI15" i="16"/>
  <c r="AI23" i="16"/>
  <c r="AI16" i="16"/>
  <c r="AI17" i="16"/>
  <c r="AI26" i="16"/>
  <c r="AI34" i="16"/>
  <c r="AI27" i="16"/>
  <c r="AI35" i="16"/>
  <c r="AI28" i="16"/>
  <c r="AI31" i="16"/>
  <c r="AI29" i="16"/>
  <c r="AI30" i="16"/>
  <c r="AI24" i="16"/>
  <c r="AI32" i="16"/>
  <c r="AI25" i="16"/>
  <c r="AI33" i="16"/>
  <c r="AI9" i="16"/>
  <c r="AJ7" i="16"/>
  <c r="AJ11" i="16" l="1"/>
  <c r="AJ17" i="16"/>
  <c r="AJ18" i="16"/>
  <c r="AJ19" i="16"/>
  <c r="AJ12" i="16"/>
  <c r="AJ20" i="16"/>
  <c r="AJ13" i="16"/>
  <c r="AJ21" i="16"/>
  <c r="AJ14" i="16"/>
  <c r="AJ22" i="16"/>
  <c r="AJ15" i="16"/>
  <c r="AJ23" i="16"/>
  <c r="AJ16" i="16"/>
  <c r="AJ25" i="16"/>
  <c r="AJ33" i="16"/>
  <c r="AJ26" i="16"/>
  <c r="AJ34" i="16"/>
  <c r="AJ30" i="16"/>
  <c r="AJ27" i="16"/>
  <c r="AJ35" i="16"/>
  <c r="AJ28" i="16"/>
  <c r="AJ29" i="16"/>
  <c r="AJ24" i="16"/>
  <c r="AJ32" i="16"/>
  <c r="AJ31" i="16"/>
  <c r="AJ9" i="16"/>
  <c r="AK7" i="16"/>
  <c r="AK11" i="16" l="1"/>
  <c r="AK16" i="16"/>
  <c r="AK17" i="16"/>
  <c r="AK18" i="16"/>
  <c r="AK19" i="16"/>
  <c r="AK12" i="16"/>
  <c r="AK20" i="16"/>
  <c r="AK13" i="16"/>
  <c r="AK21" i="16"/>
  <c r="AK14" i="16"/>
  <c r="AK22" i="16"/>
  <c r="AK15" i="16"/>
  <c r="AK23" i="16"/>
  <c r="AK24" i="16"/>
  <c r="AK32" i="16"/>
  <c r="AK29" i="16"/>
  <c r="AK25" i="16"/>
  <c r="AK33" i="16"/>
  <c r="AK26" i="16"/>
  <c r="AK34" i="16"/>
  <c r="AK27" i="16"/>
  <c r="AK35" i="16"/>
  <c r="AK28" i="16"/>
  <c r="AK30" i="16"/>
  <c r="AK31" i="16"/>
  <c r="AK9" i="16"/>
  <c r="AK6" i="16"/>
  <c r="AL7" i="16"/>
  <c r="AL11" i="16" l="1"/>
  <c r="AL15" i="16"/>
  <c r="AL23" i="16"/>
  <c r="AL16" i="16"/>
  <c r="AL17" i="16"/>
  <c r="AL18" i="16"/>
  <c r="AL19" i="16"/>
  <c r="AL12" i="16"/>
  <c r="AL20" i="16"/>
  <c r="AL13" i="16"/>
  <c r="AL21" i="16"/>
  <c r="AL14" i="16"/>
  <c r="AL22" i="16"/>
  <c r="AL31" i="16"/>
  <c r="AL24" i="16"/>
  <c r="AL32" i="16"/>
  <c r="AL25" i="16"/>
  <c r="AL33" i="16"/>
  <c r="AL28" i="16"/>
  <c r="AL26" i="16"/>
  <c r="AL34" i="16"/>
  <c r="AL27" i="16"/>
  <c r="AL35" i="16"/>
  <c r="AL29" i="16"/>
  <c r="AL30" i="16"/>
  <c r="AL9" i="16"/>
  <c r="AM7" i="16"/>
  <c r="AM11" i="16" l="1"/>
  <c r="AM14" i="16"/>
  <c r="AM22" i="16"/>
  <c r="AM15" i="16"/>
  <c r="AM23" i="16"/>
  <c r="AM16" i="16"/>
  <c r="AM17" i="16"/>
  <c r="AM18" i="16"/>
  <c r="AM19" i="16"/>
  <c r="AM12" i="16"/>
  <c r="AM20" i="16"/>
  <c r="AM13" i="16"/>
  <c r="AM21" i="16"/>
  <c r="AM30" i="16"/>
  <c r="AM31" i="16"/>
  <c r="AM24" i="16"/>
  <c r="AM32" i="16"/>
  <c r="AM35" i="16"/>
  <c r="AM25" i="16"/>
  <c r="AM33" i="16"/>
  <c r="AM26" i="16"/>
  <c r="AM34" i="16"/>
  <c r="AM27" i="16"/>
  <c r="AM28" i="16"/>
  <c r="AM29" i="16"/>
  <c r="AM9" i="16"/>
  <c r="AN7" i="16"/>
  <c r="AN11" i="16" l="1"/>
  <c r="AN13" i="16"/>
  <c r="AN21" i="16"/>
  <c r="AN14" i="16"/>
  <c r="AN22" i="16"/>
  <c r="AN15" i="16"/>
  <c r="AN23" i="16"/>
  <c r="AN16" i="16"/>
  <c r="AN17" i="16"/>
  <c r="AN18" i="16"/>
  <c r="AN19" i="16"/>
  <c r="AN12" i="16"/>
  <c r="AN20" i="16"/>
  <c r="AN29" i="16"/>
  <c r="AN30" i="16"/>
  <c r="AN31" i="16"/>
  <c r="AN34" i="16"/>
  <c r="AN24" i="16"/>
  <c r="AN32" i="16"/>
  <c r="AN25" i="16"/>
  <c r="AN33" i="16"/>
  <c r="AN26" i="16"/>
  <c r="AN27" i="16"/>
  <c r="AN28" i="16"/>
  <c r="AN35" i="16"/>
  <c r="AN9" i="16"/>
  <c r="AO7" i="16"/>
  <c r="AO11" i="16" l="1"/>
  <c r="AO12" i="16"/>
  <c r="AO20" i="16"/>
  <c r="AO13" i="16"/>
  <c r="AO21" i="16"/>
  <c r="AO14" i="16"/>
  <c r="AO22" i="16"/>
  <c r="AO15" i="16"/>
  <c r="AO23" i="16"/>
  <c r="AO16" i="16"/>
  <c r="AO17" i="16"/>
  <c r="AO18" i="16"/>
  <c r="AO19" i="16"/>
  <c r="AO28" i="16"/>
  <c r="AO25" i="16"/>
  <c r="AO29" i="16"/>
  <c r="AO30" i="16"/>
  <c r="AO31" i="16"/>
  <c r="AO33" i="16"/>
  <c r="AO24" i="16"/>
  <c r="AO32" i="16"/>
  <c r="AO26" i="16"/>
  <c r="AO27" i="16"/>
  <c r="AO35" i="16"/>
  <c r="AO34" i="16"/>
  <c r="AO9" i="16"/>
  <c r="AP7" i="16"/>
  <c r="AP11" i="16" l="1"/>
  <c r="AP19" i="16"/>
  <c r="AP12" i="16"/>
  <c r="AP20" i="16"/>
  <c r="AP13" i="16"/>
  <c r="AP21" i="16"/>
  <c r="AP14" i="16"/>
  <c r="AP22" i="16"/>
  <c r="AP15" i="16"/>
  <c r="AP23" i="16"/>
  <c r="AP16" i="16"/>
  <c r="AP17" i="16"/>
  <c r="AP18" i="16"/>
  <c r="AP27" i="16"/>
  <c r="AP35" i="16"/>
  <c r="AP28" i="16"/>
  <c r="AP24" i="16"/>
  <c r="AP29" i="16"/>
  <c r="AP30" i="16"/>
  <c r="AP32" i="16"/>
  <c r="AP31" i="16"/>
  <c r="AP25" i="16"/>
  <c r="AP33" i="16"/>
  <c r="AP26" i="16"/>
  <c r="AP34" i="16"/>
  <c r="AP9" i="16"/>
  <c r="AQ7" i="16"/>
  <c r="AQ11" i="16" l="1"/>
  <c r="AQ18" i="16"/>
  <c r="AQ19" i="16"/>
  <c r="AQ12" i="16"/>
  <c r="AQ20" i="16"/>
  <c r="AQ13" i="16"/>
  <c r="AQ21" i="16"/>
  <c r="AQ14" i="16"/>
  <c r="AQ22" i="16"/>
  <c r="AQ15" i="16"/>
  <c r="AQ23" i="16"/>
  <c r="AQ16" i="16"/>
  <c r="AQ17" i="16"/>
  <c r="AQ26" i="16"/>
  <c r="AQ34" i="16"/>
  <c r="AQ27" i="16"/>
  <c r="AQ35" i="16"/>
  <c r="AQ28" i="16"/>
  <c r="AQ29" i="16"/>
  <c r="AQ30" i="16"/>
  <c r="AQ31" i="16"/>
  <c r="AQ24" i="16"/>
  <c r="AQ32" i="16"/>
  <c r="AQ25" i="16"/>
  <c r="AQ33" i="16"/>
  <c r="AQ9" i="16"/>
  <c r="AR7" i="16"/>
  <c r="AR11" i="16" l="1"/>
  <c r="AR17" i="16"/>
  <c r="AR18" i="16"/>
  <c r="AR19" i="16"/>
  <c r="AR12" i="16"/>
  <c r="AR20" i="16"/>
  <c r="AR13" i="16"/>
  <c r="AR21" i="16"/>
  <c r="AR14" i="16"/>
  <c r="AR22" i="16"/>
  <c r="AR15" i="16"/>
  <c r="AR23" i="16"/>
  <c r="AR16" i="16"/>
  <c r="AR25" i="16"/>
  <c r="AR33" i="16"/>
  <c r="AR30" i="16"/>
  <c r="AR26" i="16"/>
  <c r="AR34" i="16"/>
  <c r="AR27" i="16"/>
  <c r="AR35" i="16"/>
  <c r="AR31" i="16"/>
  <c r="AR28" i="16"/>
  <c r="AR29" i="16"/>
  <c r="AR24" i="16"/>
  <c r="AR32" i="16"/>
  <c r="AR9" i="16"/>
  <c r="AR6" i="16"/>
  <c r="AS7" i="16"/>
  <c r="AS11" i="16" l="1"/>
  <c r="AS16" i="16"/>
  <c r="AS17" i="16"/>
  <c r="AS18" i="16"/>
  <c r="AS19" i="16"/>
  <c r="AS12" i="16"/>
  <c r="AS20" i="16"/>
  <c r="AS13" i="16"/>
  <c r="AS21" i="16"/>
  <c r="AS14" i="16"/>
  <c r="AS22" i="16"/>
  <c r="AS15" i="16"/>
  <c r="AS23" i="16"/>
  <c r="AS24" i="16"/>
  <c r="AS32" i="16"/>
  <c r="AS25" i="16"/>
  <c r="AS33" i="16"/>
  <c r="AS29" i="16"/>
  <c r="AS26" i="16"/>
  <c r="AS34" i="16"/>
  <c r="AS27" i="16"/>
  <c r="AS35" i="16"/>
  <c r="AS28" i="16"/>
  <c r="AS30" i="16"/>
  <c r="AS31" i="16"/>
  <c r="AS9" i="16"/>
  <c r="AT7" i="16"/>
  <c r="AT11" i="16" l="1"/>
  <c r="AT15" i="16"/>
  <c r="AT23" i="16"/>
  <c r="AT16" i="16"/>
  <c r="AT17" i="16"/>
  <c r="AT18" i="16"/>
  <c r="AT19" i="16"/>
  <c r="AT12" i="16"/>
  <c r="AT20" i="16"/>
  <c r="AT13" i="16"/>
  <c r="AT21" i="16"/>
  <c r="AT14" i="16"/>
  <c r="AT22" i="16"/>
  <c r="AT31" i="16"/>
  <c r="AT24" i="16"/>
  <c r="AT32" i="16"/>
  <c r="AT25" i="16"/>
  <c r="AT33" i="16"/>
  <c r="AT26" i="16"/>
  <c r="AT34" i="16"/>
  <c r="AT27" i="16"/>
  <c r="AT35" i="16"/>
  <c r="AT28" i="16"/>
  <c r="AT29" i="16"/>
  <c r="AT30" i="16"/>
  <c r="AT9" i="16"/>
  <c r="AU7" i="16"/>
  <c r="AU11" i="16" l="1"/>
  <c r="AU14" i="16"/>
  <c r="AU22" i="16"/>
  <c r="AU15" i="16"/>
  <c r="AU23" i="16"/>
  <c r="AU16" i="16"/>
  <c r="AU17" i="16"/>
  <c r="AU18" i="16"/>
  <c r="AU19" i="16"/>
  <c r="AU12" i="16"/>
  <c r="AU20" i="16"/>
  <c r="AU13" i="16"/>
  <c r="AU21" i="16"/>
  <c r="AU30" i="16"/>
  <c r="AU31" i="16"/>
  <c r="AU24" i="16"/>
  <c r="AU32" i="16"/>
  <c r="AU25" i="16"/>
  <c r="AU33" i="16"/>
  <c r="AU27" i="16"/>
  <c r="AU35" i="16"/>
  <c r="AU26" i="16"/>
  <c r="AU34" i="16"/>
  <c r="AU28" i="16"/>
  <c r="AU29" i="16"/>
  <c r="AU9" i="16"/>
  <c r="AV7" i="16"/>
  <c r="AV11" i="16" l="1"/>
  <c r="AV13" i="16"/>
  <c r="AV21" i="16"/>
  <c r="AV14" i="16"/>
  <c r="AV22" i="16"/>
  <c r="AV15" i="16"/>
  <c r="AV23" i="16"/>
  <c r="AV16" i="16"/>
  <c r="AV17" i="16"/>
  <c r="AV18" i="16"/>
  <c r="AV19" i="16"/>
  <c r="AV12" i="16"/>
  <c r="AV20" i="16"/>
  <c r="AV29" i="16"/>
  <c r="AV30" i="16"/>
  <c r="AV34" i="16"/>
  <c r="AV31" i="16"/>
  <c r="AV26" i="16"/>
  <c r="AV35" i="16"/>
  <c r="AV24" i="16"/>
  <c r="AV32" i="16"/>
  <c r="AV25" i="16"/>
  <c r="AV33" i="16"/>
  <c r="AV27" i="16"/>
  <c r="AV28" i="16"/>
  <c r="AV9" i="16"/>
  <c r="AW7" i="16"/>
  <c r="AW11" i="16" l="1"/>
  <c r="AW12" i="16"/>
  <c r="AW20" i="16"/>
  <c r="AW13" i="16"/>
  <c r="AW21" i="16"/>
  <c r="AW14" i="16"/>
  <c r="AW22" i="16"/>
  <c r="AW15" i="16"/>
  <c r="AW23" i="16"/>
  <c r="AW16" i="16"/>
  <c r="AW17" i="16"/>
  <c r="AW18" i="16"/>
  <c r="AW19" i="16"/>
  <c r="AW28" i="16"/>
  <c r="AW33" i="16"/>
  <c r="AW29" i="16"/>
  <c r="AW30" i="16"/>
  <c r="AW34" i="16"/>
  <c r="AW31" i="16"/>
  <c r="AW24" i="16"/>
  <c r="AW32" i="16"/>
  <c r="AW25" i="16"/>
  <c r="AW26" i="16"/>
  <c r="AW27" i="16"/>
  <c r="AW35" i="16"/>
  <c r="AW9" i="16"/>
  <c r="AX7" i="16"/>
  <c r="AX11" i="16" l="1"/>
  <c r="AX19" i="16"/>
  <c r="AX12" i="16"/>
  <c r="AX20" i="16"/>
  <c r="AX13" i="16"/>
  <c r="AX21" i="16"/>
  <c r="AX14" i="16"/>
  <c r="AX22" i="16"/>
  <c r="AX15" i="16"/>
  <c r="AX23" i="16"/>
  <c r="AX16" i="16"/>
  <c r="AX17" i="16"/>
  <c r="AX18" i="16"/>
  <c r="AX27" i="16"/>
  <c r="AX35" i="16"/>
  <c r="AX28" i="16"/>
  <c r="AX32" i="16"/>
  <c r="AX29" i="16"/>
  <c r="AX30" i="16"/>
  <c r="AX31" i="16"/>
  <c r="AX24" i="16"/>
  <c r="AX25" i="16"/>
  <c r="AX33" i="16"/>
  <c r="AX26" i="16"/>
  <c r="AX34" i="16"/>
  <c r="AX9" i="16"/>
  <c r="AY7" i="16"/>
  <c r="AY11" i="16" l="1"/>
  <c r="AY18" i="16"/>
  <c r="AY19" i="16"/>
  <c r="AY12" i="16"/>
  <c r="AY20" i="16"/>
  <c r="AY13" i="16"/>
  <c r="AY21" i="16"/>
  <c r="AY14" i="16"/>
  <c r="AY22" i="16"/>
  <c r="AY15" i="16"/>
  <c r="AY23" i="16"/>
  <c r="AY16" i="16"/>
  <c r="AY17" i="16"/>
  <c r="AY26" i="16"/>
  <c r="AY34" i="16"/>
  <c r="AY27" i="16"/>
  <c r="AY35" i="16"/>
  <c r="AY31" i="16"/>
  <c r="AY28" i="16"/>
  <c r="AY29" i="16"/>
  <c r="AY30" i="16"/>
  <c r="AY24" i="16"/>
  <c r="AY32" i="16"/>
  <c r="AY25" i="16"/>
  <c r="AY33" i="16"/>
  <c r="AY9" i="16"/>
  <c r="AY6" i="16"/>
  <c r="AZ7" i="16"/>
  <c r="AZ11" i="16" l="1"/>
  <c r="AZ17" i="16"/>
  <c r="AZ18" i="16"/>
  <c r="AZ19" i="16"/>
  <c r="AZ12" i="16"/>
  <c r="AZ20" i="16"/>
  <c r="AZ13" i="16"/>
  <c r="AZ21" i="16"/>
  <c r="AZ14" i="16"/>
  <c r="AZ22" i="16"/>
  <c r="AZ15" i="16"/>
  <c r="AZ23" i="16"/>
  <c r="AZ16" i="16"/>
  <c r="AZ25" i="16"/>
  <c r="AZ33" i="16"/>
  <c r="AZ26" i="16"/>
  <c r="AZ34" i="16"/>
  <c r="AZ27" i="16"/>
  <c r="AZ35" i="16"/>
  <c r="AZ30" i="16"/>
  <c r="AZ28" i="16"/>
  <c r="AZ31" i="16"/>
  <c r="AZ29" i="16"/>
  <c r="AZ24" i="16"/>
  <c r="AZ32" i="16"/>
  <c r="AZ9" i="16"/>
  <c r="BA7" i="16"/>
  <c r="BA11" i="16" l="1"/>
  <c r="BA16" i="16"/>
  <c r="BA17" i="16"/>
  <c r="BA18" i="16"/>
  <c r="BA19" i="16"/>
  <c r="BA12" i="16"/>
  <c r="BA20" i="16"/>
  <c r="BA13" i="16"/>
  <c r="BA21" i="16"/>
  <c r="BA14" i="16"/>
  <c r="BA22" i="16"/>
  <c r="BA15" i="16"/>
  <c r="BA23" i="16"/>
  <c r="BA24" i="16"/>
  <c r="BA32" i="16"/>
  <c r="BA25" i="16"/>
  <c r="BA33" i="16"/>
  <c r="BA26" i="16"/>
  <c r="BA34" i="16"/>
  <c r="BA27" i="16"/>
  <c r="BA35" i="16"/>
  <c r="BA29" i="16"/>
  <c r="BA28" i="16"/>
  <c r="BA30" i="16"/>
  <c r="BA31" i="16"/>
  <c r="BA9" i="16"/>
  <c r="BB7" i="16"/>
  <c r="BB11" i="16" l="1"/>
  <c r="BB15" i="16"/>
  <c r="BB23" i="16"/>
  <c r="BB16" i="16"/>
  <c r="BB17" i="16"/>
  <c r="BB18" i="16"/>
  <c r="BB19" i="16"/>
  <c r="BB12" i="16"/>
  <c r="BB20" i="16"/>
  <c r="BB13" i="16"/>
  <c r="BB21" i="16"/>
  <c r="BB14" i="16"/>
  <c r="BB22" i="16"/>
  <c r="BB31" i="16"/>
  <c r="BB24" i="16"/>
  <c r="BB32" i="16"/>
  <c r="BB28" i="16"/>
  <c r="BB25" i="16"/>
  <c r="BB33" i="16"/>
  <c r="BB26" i="16"/>
  <c r="BB34" i="16"/>
  <c r="BB27" i="16"/>
  <c r="BB35" i="16"/>
  <c r="BB29" i="16"/>
  <c r="BB30" i="16"/>
  <c r="BB9" i="16"/>
  <c r="BC7" i="16"/>
  <c r="BC11" i="16" l="1"/>
  <c r="BC14" i="16"/>
  <c r="BC22" i="16"/>
  <c r="BC15" i="16"/>
  <c r="BC23" i="16"/>
  <c r="BC16" i="16"/>
  <c r="BC17" i="16"/>
  <c r="BC18" i="16"/>
  <c r="BC19" i="16"/>
  <c r="BC12" i="16"/>
  <c r="BC20" i="16"/>
  <c r="BC13" i="16"/>
  <c r="BC21" i="16"/>
  <c r="BC30" i="16"/>
  <c r="BC35" i="16"/>
  <c r="BC31" i="16"/>
  <c r="BC27" i="16"/>
  <c r="BC24" i="16"/>
  <c r="BC32" i="16"/>
  <c r="BC25" i="16"/>
  <c r="BC33" i="16"/>
  <c r="BC26" i="16"/>
  <c r="BC34" i="16"/>
  <c r="BC28" i="16"/>
  <c r="BC29" i="16"/>
  <c r="BD7" i="16"/>
  <c r="BC9" i="16"/>
  <c r="BD11" i="16" l="1"/>
  <c r="BD13" i="16"/>
  <c r="BD21" i="16"/>
  <c r="BD14" i="16"/>
  <c r="BD22" i="16"/>
  <c r="BD15" i="16"/>
  <c r="BD23" i="16"/>
  <c r="BD16" i="16"/>
  <c r="BD17" i="16"/>
  <c r="BD18" i="16"/>
  <c r="BD19" i="16"/>
  <c r="BD12" i="16"/>
  <c r="BD20" i="16"/>
  <c r="BD29" i="16"/>
  <c r="BD30" i="16"/>
  <c r="BD31" i="16"/>
  <c r="BD24" i="16"/>
  <c r="BD32" i="16"/>
  <c r="BD26" i="16"/>
  <c r="BD34" i="16"/>
  <c r="BD35" i="16"/>
  <c r="BD25" i="16"/>
  <c r="BD33" i="16"/>
  <c r="BD27" i="16"/>
  <c r="BD28" i="16"/>
  <c r="BD9" i="16"/>
  <c r="BE7" i="16"/>
  <c r="BE11" i="16" l="1"/>
  <c r="BE12" i="16"/>
  <c r="BE20" i="16"/>
  <c r="BE13" i="16"/>
  <c r="BE21" i="16"/>
  <c r="BE14" i="16"/>
  <c r="BE22" i="16"/>
  <c r="BE15" i="16"/>
  <c r="BE23" i="16"/>
  <c r="BE16" i="16"/>
  <c r="BE17" i="16"/>
  <c r="BE18" i="16"/>
  <c r="BE19" i="16"/>
  <c r="BE28" i="16"/>
  <c r="BE29" i="16"/>
  <c r="BE30" i="16"/>
  <c r="BE25" i="16"/>
  <c r="BE33" i="16"/>
  <c r="BE31" i="16"/>
  <c r="BE34" i="16"/>
  <c r="BE24" i="16"/>
  <c r="BE32" i="16"/>
  <c r="BE26" i="16"/>
  <c r="BE27" i="16"/>
  <c r="BE35" i="16"/>
  <c r="BE9" i="16"/>
  <c r="BF7" i="16"/>
  <c r="BF11" i="16" l="1"/>
  <c r="BF19" i="16"/>
  <c r="BF12" i="16"/>
  <c r="BF20" i="16"/>
  <c r="BF13" i="16"/>
  <c r="BF21" i="16"/>
  <c r="BF14" i="16"/>
  <c r="BF22" i="16"/>
  <c r="BF15" i="16"/>
  <c r="BF23" i="16"/>
  <c r="BF16" i="16"/>
  <c r="BF17" i="16"/>
  <c r="BF18" i="16"/>
  <c r="BF27" i="16"/>
  <c r="BF35" i="16"/>
  <c r="BF24" i="16"/>
  <c r="BF32" i="16"/>
  <c r="BF28" i="16"/>
  <c r="BF29" i="16"/>
  <c r="BF30" i="16"/>
  <c r="BF31" i="16"/>
  <c r="BF25" i="16"/>
  <c r="BF33" i="16"/>
  <c r="BF26" i="16"/>
  <c r="BF34" i="16"/>
  <c r="BF9" i="16"/>
  <c r="BF6" i="16"/>
  <c r="BG7" i="16"/>
  <c r="BG11" i="16" l="1"/>
  <c r="BG18" i="16"/>
  <c r="BG19" i="16"/>
  <c r="BG12" i="16"/>
  <c r="BG20" i="16"/>
  <c r="BG13" i="16"/>
  <c r="BG21" i="16"/>
  <c r="BG14" i="16"/>
  <c r="BG22" i="16"/>
  <c r="BG15" i="16"/>
  <c r="BG23" i="16"/>
  <c r="BG16" i="16"/>
  <c r="BG17" i="16"/>
  <c r="BG26" i="16"/>
  <c r="BG34" i="16"/>
  <c r="BG27" i="16"/>
  <c r="BG35" i="16"/>
  <c r="BG28" i="16"/>
  <c r="BG29" i="16"/>
  <c r="BG31" i="16"/>
  <c r="BG30" i="16"/>
  <c r="BG24" i="16"/>
  <c r="BG32" i="16"/>
  <c r="BG25" i="16"/>
  <c r="BG33" i="16"/>
  <c r="BG9" i="16"/>
  <c r="BH7" i="16"/>
  <c r="BH11" i="16" l="1"/>
  <c r="BH17" i="16"/>
  <c r="BH18" i="16"/>
  <c r="BH19" i="16"/>
  <c r="BH12" i="16"/>
  <c r="BH20" i="16"/>
  <c r="BH13" i="16"/>
  <c r="BH21" i="16"/>
  <c r="BH14" i="16"/>
  <c r="BH22" i="16"/>
  <c r="BH15" i="16"/>
  <c r="BH23" i="16"/>
  <c r="BH16" i="16"/>
  <c r="BH25" i="16"/>
  <c r="BH33" i="16"/>
  <c r="BH26" i="16"/>
  <c r="BH34" i="16"/>
  <c r="BH27" i="16"/>
  <c r="BH35" i="16"/>
  <c r="BH28" i="16"/>
  <c r="BH29" i="16"/>
  <c r="BH30" i="16"/>
  <c r="BH31" i="16"/>
  <c r="BH24" i="16"/>
  <c r="BH32" i="16"/>
  <c r="BH9" i="16"/>
  <c r="BI7" i="16"/>
  <c r="BI16" i="16" l="1"/>
  <c r="BI17" i="16"/>
  <c r="BI18" i="16"/>
  <c r="BI19" i="16"/>
  <c r="BI12" i="16"/>
  <c r="BI20" i="16"/>
  <c r="BI13" i="16"/>
  <c r="BI21" i="16"/>
  <c r="BI14" i="16"/>
  <c r="BI22" i="16"/>
  <c r="BI15" i="16"/>
  <c r="BI23" i="16"/>
  <c r="BI24" i="16"/>
  <c r="BI32" i="16"/>
  <c r="BI25" i="16"/>
  <c r="BI33" i="16"/>
  <c r="BI26" i="16"/>
  <c r="BI34" i="16"/>
  <c r="BI29" i="16"/>
  <c r="BI27" i="16"/>
  <c r="BI35" i="16"/>
  <c r="BI28" i="16"/>
  <c r="BI30" i="16"/>
  <c r="BI31" i="16"/>
  <c r="BI11" i="16"/>
  <c r="BI9" i="16"/>
  <c r="BJ7" i="16"/>
  <c r="BJ15" i="16" l="1"/>
  <c r="BJ23" i="16"/>
  <c r="BJ16" i="16"/>
  <c r="BJ17" i="16"/>
  <c r="BJ18" i="16"/>
  <c r="BJ19" i="16"/>
  <c r="BJ12" i="16"/>
  <c r="BJ20" i="16"/>
  <c r="BJ13" i="16"/>
  <c r="BJ21" i="16"/>
  <c r="BJ14" i="16"/>
  <c r="BJ22" i="16"/>
  <c r="BJ31" i="16"/>
  <c r="BJ24" i="16"/>
  <c r="BJ32" i="16"/>
  <c r="BJ25" i="16"/>
  <c r="BJ33" i="16"/>
  <c r="BJ26" i="16"/>
  <c r="BJ34" i="16"/>
  <c r="BJ28" i="16"/>
  <c r="BJ27" i="16"/>
  <c r="BJ35" i="16"/>
  <c r="BJ29" i="16"/>
  <c r="BJ30" i="16"/>
  <c r="BJ11" i="16"/>
  <c r="BJ9" i="16"/>
  <c r="BK7" i="16"/>
  <c r="BK14" i="16" l="1"/>
  <c r="BK22" i="16"/>
  <c r="BK15" i="16"/>
  <c r="BK23" i="16"/>
  <c r="BK16" i="16"/>
  <c r="BK17" i="16"/>
  <c r="BK18" i="16"/>
  <c r="BK19" i="16"/>
  <c r="BK12" i="16"/>
  <c r="BK20" i="16"/>
  <c r="BK13" i="16"/>
  <c r="BK21" i="16"/>
  <c r="BK30" i="16"/>
  <c r="BK31" i="16"/>
  <c r="BK35" i="16"/>
  <c r="BK24" i="16"/>
  <c r="BK32" i="16"/>
  <c r="BK27" i="16"/>
  <c r="BK25" i="16"/>
  <c r="BK33" i="16"/>
  <c r="BK26" i="16"/>
  <c r="BK34" i="16"/>
  <c r="BK28" i="16"/>
  <c r="BK29" i="16"/>
  <c r="BK11" i="16"/>
  <c r="BK9" i="16"/>
  <c r="BL7" i="16"/>
  <c r="BL13" i="16" l="1"/>
  <c r="BL21" i="16"/>
  <c r="BL14" i="16"/>
  <c r="BL22" i="16"/>
  <c r="BL15" i="16"/>
  <c r="BL23" i="16"/>
  <c r="BL16" i="16"/>
  <c r="BL17" i="16"/>
  <c r="BL18" i="16"/>
  <c r="BL19" i="16"/>
  <c r="BL12" i="16"/>
  <c r="BL20" i="16"/>
  <c r="BL29" i="16"/>
  <c r="BL30" i="16"/>
  <c r="BL26" i="16"/>
  <c r="BL35" i="16"/>
  <c r="BL31" i="16"/>
  <c r="BL34" i="16"/>
  <c r="BL24" i="16"/>
  <c r="BL32" i="16"/>
  <c r="BL25" i="16"/>
  <c r="BL33" i="16"/>
  <c r="BL27" i="16"/>
  <c r="BL28" i="16"/>
  <c r="BL11" i="16"/>
  <c r="BL9"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<sst xmlns="http://schemas.openxmlformats.org/spreadsheetml/2006/main" count="150" uniqueCount="58">
  <si>
    <t>INFORMATIONEN ZU DIESEM GANTT-DIAGRAMM</t>
  </si>
  <si>
    <t xml:space="preserve">Visualisieren und verfolgen Sie Ihre Projekte mit dieser Gantt-Diagrammvorlage. Geben Sie zunächst die Aufgaben, an denen Sie arbeiten, in den Abschnitt Meilensteinbeschreibung ein und geben Sie dann Details für jede Aufgabe ein. Die Daten werden automatisch aktualisiert und es ist einfach, neue Aufgaben einzufügen oder mithilfe der Bildlaufleiste durch die Zeitleiste zu scrollen. </t>
  </si>
  <si>
    <t xml:space="preserve">• Verwenden Sie "Fortschritt", um den Betrag des abgeschlossenen Projekts durch Hinzufügen einer Prozentzahl hinzuzufügen. 
• Fügen Sie den Tag, an dem Sie Ihr Projekt gestartet haben, zum Startdatum hinzu. 
• Beenden Sie Ihre Berechnungen, indem Sie im Feld "Anzahl der Tage" die Anzahl der Tage eingeben, die Sie für die Fertigstellung Ihres Projekts benötigen. </t>
  </si>
  <si>
    <t>PROJEKTTITEL</t>
  </si>
  <si>
    <t>Firmenname</t>
  </si>
  <si>
    <t>Projektleiter</t>
  </si>
  <si>
    <t>Projektanfangsdatum:</t>
  </si>
  <si>
    <t>Scrollschrittweite:</t>
  </si>
  <si>
    <t>Meilensteinbeschreibung</t>
  </si>
  <si>
    <t>TITEL 1</t>
  </si>
  <si>
    <t>Aufgabe 1</t>
  </si>
  <si>
    <t>Aufgabe 2</t>
  </si>
  <si>
    <t>Aufgabe 3</t>
  </si>
  <si>
    <t>Aufgabe 4</t>
  </si>
  <si>
    <t>Aufgabe 5</t>
  </si>
  <si>
    <t>TITEL 2</t>
  </si>
  <si>
    <t>TITEL 3</t>
  </si>
  <si>
    <t>TITEL 4</t>
  </si>
  <si>
    <t>Um weitere Daten hinzuzufügen, fügen Sie neue Zeilen ÜBER dieser ein.</t>
  </si>
  <si>
    <t>Kategorie</t>
  </si>
  <si>
    <t>Ziel</t>
  </si>
  <si>
    <t>Meilenstein</t>
  </si>
  <si>
    <t>Geringes Risiko</t>
  </si>
  <si>
    <t>Mittleres Risiko</t>
  </si>
  <si>
    <t>Hohes Risiko</t>
  </si>
  <si>
    <t>Im Plan</t>
  </si>
  <si>
    <t>Zugewiesen zu</t>
  </si>
  <si>
    <t>Name</t>
  </si>
  <si>
    <t>Fortschritt</t>
  </si>
  <si>
    <t>Start</t>
  </si>
  <si>
    <t>Legende:</t>
  </si>
  <si>
    <t>Tage</t>
  </si>
  <si>
    <t>Hohe Risiken</t>
  </si>
  <si>
    <t>Nicht zugewiesen</t>
  </si>
  <si>
    <t>Geben Sie den Namen des Projektleiters in Zelle B5 ein. Geben Sie das Projektstartdatum in Zelle C6 ein oder lassen Sie die Beispielformel den kleinsten Datumswert aus der Gantt-Datentabelle ermitteln.
Projektstartdatum: Die Bezeichnung befindet sich in Zelle B6.</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</si>
  <si>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</si>
  <si>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SmartClock</t>
  </si>
  <si>
    <t>Sai Ragavan</t>
  </si>
  <si>
    <t>Realisieren</t>
  </si>
  <si>
    <t>Zeiteinteilung</t>
  </si>
  <si>
    <t>Zeitaufwand in std</t>
  </si>
  <si>
    <t>Soll</t>
  </si>
  <si>
    <t>Ist</t>
  </si>
  <si>
    <t>Time and Date Display</t>
  </si>
  <si>
    <t>Change Display</t>
  </si>
  <si>
    <t>Solder joystick</t>
  </si>
  <si>
    <t>Timer logic</t>
  </si>
  <si>
    <t>Set Timer</t>
  </si>
  <si>
    <t>Timer buzz</t>
  </si>
  <si>
    <t>Test timer functions</t>
  </si>
  <si>
    <t>Test</t>
  </si>
  <si>
    <t>Evaluate</t>
  </si>
  <si>
    <t>Aufwand Soll / Ist</t>
  </si>
  <si>
    <t>Timer einstellen</t>
  </si>
  <si>
    <t>Timer starten (können)</t>
  </si>
  <si>
    <t>Timer läuft (Anzeige)</t>
  </si>
  <si>
    <t>Timer buzzed</t>
  </si>
  <si>
    <t>Code Optimierung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</si>
</sst>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_);_(* \(#,##0.00\);_(* &quot;-&quot;??_);_(@_)"/>
    <numFmt numFmtId="165" formatCode="d"/>
    <numFmt numFmtId="166" formatCode="#,##0_ ;\-#,##0\ "/>
  </numFmts>
  <fonts count="36">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sz val="14"/>
      <name val="Corbel"/>
      <family val="2"/>
    </font>
    <font>
      <sz val="8"/>
      <name val="Calibri"/>
      <family val="2"/>
      <scheme val="minor"/>
    </font>
    <font>
      <b/>
      <sz val="11"/>
      <color theme="1"/>
      <name val="Calibri"/>
      <family val="2"/>
      <scheme val="minor"/>
    </font>
  </fonts>
  <fills count="15">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s>
  <borders count="1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10" fillId="3" borderId="0" applyNumberFormat="0" applyBorder="0" applyAlignment="0" applyProtection="0"/>
  </cellStyleXfs>
  <cellXfs count="14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166" fontId="0" fillId="0" borderId="0" xfId="10" applyFont="1" applyFill="1" applyBorder="1">
      <alignment horizontal="center" vertical="center"/>
    </xf>
    <xf numFmtId="0" fontId="0" fillId="0" borderId="0" xfId="0" applyAlignment="1">
      <alignment horizontal="left" wrapText="1" indent="2"/>
    </xf>
    <xf numFmtId="165" fontId="12" fillId="9" borderId="0" xfId="0" applyNumberFormat="1" applyFont="1" applyFill="1" applyAlignment="1">
      <alignment horizontal="center" vertical="center"/>
    </xf>
    <xf numFmtId="165"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166" fontId="10" fillId="0" borderId="0" xfId="10" applyFont="1" applyFill="1" applyBorder="1">
      <alignment horizontal="center" vertical="center"/>
    </xf>
    <xf numFmtId="0" fontId="0" fillId="0" borderId="4" xfId="0"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7" xfId="0" applyBorder="1" applyAlignment="1">
      <alignment vertical="center"/>
    </xf>
    <xf numFmtId="0" fontId="12" fillId="9" borderId="6" xfId="0" applyFont="1" applyFill="1" applyBorder="1" applyAlignment="1">
      <alignment horizontal="center" vertical="center" shrinkToFit="1"/>
    </xf>
    <xf numFmtId="165" fontId="1" fillId="9" borderId="10" xfId="0" applyNumberFormat="1" applyFont="1" applyFill="1" applyBorder="1" applyAlignment="1">
      <alignment horizontal="center" vertical="center"/>
    </xf>
    <xf numFmtId="165" fontId="1" fillId="9" borderId="11" xfId="0" applyNumberFormat="1" applyFont="1" applyFill="1" applyBorder="1" applyAlignment="1">
      <alignment horizontal="center" vertical="center"/>
    </xf>
    <xf numFmtId="165" fontId="1" fillId="9" borderId="12" xfId="0" applyNumberFormat="1" applyFont="1" applyFill="1" applyBorder="1" applyAlignment="1">
      <alignment horizontal="center" vertical="center"/>
    </xf>
    <xf numFmtId="0" fontId="0" fillId="0" borderId="6"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0" fillId="10" borderId="13" xfId="0" applyFill="1" applyBorder="1" applyAlignment="1">
      <alignment horizontal="center"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166"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166" fontId="3" fillId="0" borderId="0" xfId="10" applyFont="1" applyFill="1" applyBorder="1">
      <alignment horizontal="center" vertical="center"/>
    </xf>
    <xf numFmtId="0" fontId="3" fillId="0" borderId="0" xfId="0" applyFont="1" applyAlignment="1">
      <alignment horizontal="left" vertical="center" wrapText="1" indent="2"/>
    </xf>
    <xf numFmtId="165" fontId="12" fillId="9" borderId="14" xfId="0" applyNumberFormat="1" applyFont="1" applyFill="1" applyBorder="1" applyAlignment="1">
      <alignment horizontal="center" vertical="center"/>
    </xf>
    <xf numFmtId="0" fontId="15" fillId="0" borderId="0" xfId="0" applyFont="1"/>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166"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18" xfId="0" applyBorder="1" applyAlignment="1">
      <alignment vertical="center"/>
    </xf>
    <xf numFmtId="0" fontId="15" fillId="0" borderId="10" xfId="0" applyFont="1" applyBorder="1"/>
    <xf numFmtId="0" fontId="27" fillId="0" borderId="10" xfId="0" applyFont="1" applyBorder="1" applyAlignment="1">
      <alignment vertical="center"/>
    </xf>
    <xf numFmtId="0" fontId="29" fillId="0" borderId="10" xfId="0" applyFont="1" applyBorder="1" applyAlignment="1">
      <alignment vertical="center"/>
    </xf>
    <xf numFmtId="0" fontId="18" fillId="0" borderId="10"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5" fontId="12" fillId="9" borderId="15" xfId="0" applyNumberFormat="1" applyFont="1" applyFill="1" applyBorder="1" applyAlignment="1">
      <alignment horizontal="center" vertical="center"/>
    </xf>
    <xf numFmtId="0" fontId="10" fillId="13" borderId="0" xfId="0" applyFont="1" applyFill="1"/>
    <xf numFmtId="165" fontId="1" fillId="14" borderId="8" xfId="0" applyNumberFormat="1" applyFont="1" applyFill="1" applyBorder="1" applyAlignment="1">
      <alignment horizontal="center" vertical="center"/>
    </xf>
    <xf numFmtId="165" fontId="1" fillId="14" borderId="5" xfId="0" applyNumberFormat="1" applyFont="1" applyFill="1" applyBorder="1" applyAlignment="1">
      <alignment horizontal="center" vertical="center"/>
    </xf>
    <xf numFmtId="165" fontId="1" fillId="14" borderId="9" xfId="0" applyNumberFormat="1" applyFont="1" applyFill="1" applyBorder="1" applyAlignment="1">
      <alignment horizontal="center" vertical="center"/>
    </xf>
    <xf numFmtId="165" fontId="1" fillId="14" borderId="2" xfId="0" applyNumberFormat="1" applyFont="1" applyFill="1" applyBorder="1" applyAlignment="1">
      <alignment horizontal="center" vertical="center"/>
    </xf>
    <xf numFmtId="165" fontId="1" fillId="14" borderId="0" xfId="0" applyNumberFormat="1" applyFont="1" applyFill="1" applyAlignment="1">
      <alignment horizontal="center" vertical="center"/>
    </xf>
    <xf numFmtId="165" fontId="1" fillId="14" borderId="16" xfId="0" applyNumberFormat="1" applyFont="1" applyFill="1" applyBorder="1" applyAlignment="1">
      <alignment horizontal="center" vertical="center"/>
    </xf>
    <xf numFmtId="165" fontId="1" fillId="14" borderId="17" xfId="0" applyNumberFormat="1" applyFont="1" applyFill="1" applyBorder="1" applyAlignment="1">
      <alignment horizontal="center" vertical="center"/>
    </xf>
    <xf numFmtId="165"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26" fillId="0" borderId="0" xfId="0" applyFont="1" applyAlignment="1">
      <alignment horizontal="left" vertical="center" wrapText="1" indent="1"/>
    </xf>
    <xf numFmtId="0" fontId="10" fillId="0" borderId="0" xfId="0" applyFont="1" applyAlignment="1">
      <alignment horizontal="center" vertical="center" wrapText="1"/>
    </xf>
    <xf numFmtId="0" fontId="35" fillId="9" borderId="0" xfId="0" applyFont="1" applyFill="1" applyAlignment="1">
      <alignment horizontal="center" vertical="center" wrapText="1"/>
    </xf>
    <xf numFmtId="0" fontId="3" fillId="0" borderId="0" xfId="0" applyFont="1" applyAlignment="1">
      <alignment horizontal="center" vertical="center" wrapText="1"/>
    </xf>
    <xf numFmtId="0" fontId="13" fillId="4"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14" fillId="5" borderId="0" xfId="11" applyFont="1" applyFill="1" applyAlignment="1">
      <alignment horizontal="center" vertical="center"/>
    </xf>
    <xf numFmtId="0" fontId="14" fillId="7" borderId="0" xfId="0" applyFont="1" applyFill="1" applyAlignment="1">
      <alignment horizontal="center" vertical="center"/>
    </xf>
    <xf numFmtId="0" fontId="14" fillId="8" borderId="0" xfId="0" applyFont="1" applyFill="1" applyAlignment="1">
      <alignment horizontal="center" vertical="center"/>
    </xf>
    <xf numFmtId="0" fontId="14" fillId="6" borderId="0" xfId="0" applyFont="1" applyFill="1" applyAlignment="1">
      <alignment horizontal="center" vertical="center"/>
    </xf>
    <xf numFmtId="0" fontId="32" fillId="13" borderId="0" xfId="6" applyFont="1" applyFill="1" applyAlignment="1">
      <alignment horizontal="left" vertical="center"/>
    </xf>
    <xf numFmtId="0" fontId="33" fillId="2" borderId="0" xfId="6" applyFont="1" applyFill="1" applyAlignment="1">
      <alignment horizontal="left" vertical="center" wrapText="1"/>
    </xf>
    <xf numFmtId="0" fontId="13" fillId="0" borderId="0" xfId="0" applyFont="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0" borderId="0" xfId="0" applyFont="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56">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2" defaultPivotStyle="PivotStyleLight16">
    <tableStyle name="Gantt-Tabellenformat" pivot="0" count="4" xr9:uid="{4904D139-63E4-4221-B7C9-C6C5B7A50FAF}">
      <tableStyleElement type="wholeTable" dxfId="55"/>
      <tableStyleElement type="headerRow" dxfId="54"/>
      <tableStyleElement type="firstRowStripe" dxfId="53"/>
      <tableStyleElement type="secondRowStripe" dxfId="52"/>
    </tableStyle>
    <tableStyle name="Aufgabenliste" pivot="0" count="9" xr9:uid="{00000000-0011-0000-FFFF-FFFF00000000}">
      <tableStyleElement type="wholeTable" dxfId="51"/>
      <tableStyleElement type="headerRow" dxfId="50"/>
      <tableStyleElement type="totalRow" dxfId="49"/>
      <tableStyleElement type="firstColumn" dxfId="48"/>
      <tableStyleElement type="lastColumn" dxfId="47"/>
      <tableStyleElement type="firstRowStripe" dxfId="46"/>
      <tableStyleElement type="secondRowStripe" dxfId="45"/>
      <tableStyleElement type="firstColumnStripe" dxfId="44"/>
      <tableStyleElement type="secondColumnStripe" dxfId="4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fik 1" descr="Gantt-Diagramm mit ein Flächenfüllu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eilensteine4352" displayName="Meilensteine4352" ref="B9:G36" totalsRowShown="0" headerRowDxfId="38" dataDxfId="37">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eilensteinbeschreibung" dataDxfId="36"/>
    <tableColumn id="2" xr3:uid="{39BD914E-FB02-4352-846C-6D59624DC0B0}" name="Kategorie" dataDxfId="35"/>
    <tableColumn id="3" xr3:uid="{D274194F-BCA0-44F3-84B2-217254EE241C}" name="Zeitaufwand in std" dataDxfId="34"/>
    <tableColumn id="4" xr3:uid="{8385BC6F-56EE-4363-A106-8DB0A1E4EF5A}" name="Fortschritt" dataDxfId="33"/>
    <tableColumn id="5" xr3:uid="{02926609-7B93-4B6F-BE96-92EC7A949E4B}" name="Start" dataDxfId="32" dataCellStyle="Datum"/>
    <tableColumn id="6" xr3:uid="{8FF9BE8E-04B7-4B39-AC27-D2E534204BC3}" name="Tage" dataDxfId="31"/>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eilensteine435" displayName="Meilensteine435" ref="B9:G36" totalsRowShown="0" headerRowDxfId="42">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eilensteinbeschreibung" dataDxfId="41"/>
    <tableColumn id="2" xr3:uid="{529EEF64-D037-4ACF-8CA4-0C10FE2D1FBB}" name="Kategorie" dataDxfId="40"/>
    <tableColumn id="3" xr3:uid="{711D01BA-2785-403A-9636-CCC7E2ADA584}" name="Aufwand Soll / Ist" dataDxfId="39"/>
    <tableColumn id="4" xr3:uid="{62B00BEF-16BE-4692-B5E2-F287F680F2C1}" name="Fortschritt"/>
    <tableColumn id="5" xr3:uid="{D6D72902-F68F-4E59-A714-AFFF520C647A}" name="Start" dataCellStyle="Datum"/>
    <tableColumn id="6" xr3:uid="{93E698DE-286F-49ED-AA20-D0C843671DE8}" name="Tage"/>
  </tableColumns>
  <tableStyleInfo name="Gantt-Tabellenformat"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eilensteine43524" displayName="Meilensteine43524" ref="B9:G36" totalsRowShown="0" headerRowDxfId="30">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eilensteinbeschreibung" dataDxfId="29"/>
    <tableColumn id="2" xr3:uid="{4492A0B8-068F-4002-9E8D-E1F5FED367F0}" name="Kategorie" dataDxfId="28"/>
    <tableColumn id="3" xr3:uid="{DF1A764E-7050-4528-B7F9-B6AB99372146}" name="Zugewiesen zu" dataDxfId="27"/>
    <tableColumn id="4" xr3:uid="{47C54592-75B0-4C70-BBF8-0F40483670E9}" name="Fortschritt"/>
    <tableColumn id="5" xr3:uid="{663FB5E0-7616-4EA5-B56A-FF069E2E07D7}" name="Start" dataCellStyle="Datum"/>
    <tableColumn id="6" xr3:uid="{3B766962-C06F-4E12-BE91-12AB93439874}" name="Tage"/>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zoomScaleNormal="100" workbookViewId="0"/>
  </sheetViews>
  <sheetFormatPr baseColWidth="10" defaultColWidth="9.140625" defaultRowHeight="12.75"/>
  <cols>
    <col min="1" max="1" width="4.7109375" style="8" customWidth="1"/>
    <col min="2" max="2" width="2.7109375" style="8" customWidth="1"/>
    <col min="3" max="5" width="40.7109375" style="6" customWidth="1"/>
    <col min="6" max="6" width="2.7109375" style="6" customWidth="1"/>
    <col min="7" max="16384" width="9.140625" style="6"/>
  </cols>
  <sheetData>
    <row r="1" spans="1:13" s="7" customFormat="1" ht="28.5">
      <c r="D1" s="104"/>
    </row>
    <row r="2" spans="1:13" ht="50.1" customHeight="1">
      <c r="A2" s="7"/>
      <c r="B2" s="110"/>
      <c r="C2" s="133" t="s">
        <v>0</v>
      </c>
      <c r="D2" s="133"/>
      <c r="E2" s="133"/>
      <c r="F2" s="110"/>
      <c r="G2" s="7"/>
      <c r="H2" s="7"/>
      <c r="I2" s="7"/>
      <c r="J2" s="7"/>
      <c r="K2" s="7"/>
      <c r="L2" s="7"/>
      <c r="M2" s="7"/>
    </row>
    <row r="3" spans="1:13" ht="14.45" customHeight="1">
      <c r="A3" s="7"/>
      <c r="B3" s="105"/>
      <c r="C3" s="106"/>
      <c r="D3" s="107"/>
      <c r="E3" s="105"/>
      <c r="F3" s="105"/>
      <c r="G3" s="7"/>
      <c r="H3" s="7"/>
      <c r="I3" s="7"/>
      <c r="J3" s="7"/>
      <c r="K3" s="7"/>
      <c r="L3" s="7"/>
      <c r="M3" s="7"/>
    </row>
    <row r="4" spans="1:13" s="8" customFormat="1" ht="75" customHeight="1">
      <c r="A4" s="7"/>
      <c r="B4" s="105"/>
      <c r="C4" s="134" t="s">
        <v>1</v>
      </c>
      <c r="D4" s="134"/>
      <c r="E4" s="134"/>
      <c r="F4" s="105"/>
      <c r="G4" s="7"/>
      <c r="H4" s="7"/>
      <c r="I4" s="7"/>
      <c r="J4" s="7"/>
      <c r="K4" s="7"/>
      <c r="L4" s="7"/>
      <c r="M4" s="7"/>
    </row>
    <row r="5" spans="1:13" s="8" customFormat="1" ht="75" customHeight="1">
      <c r="A5" s="7"/>
      <c r="B5" s="105"/>
      <c r="C5" s="134" t="s">
        <v>2</v>
      </c>
      <c r="D5" s="134"/>
      <c r="E5" s="134"/>
      <c r="F5" s="105"/>
      <c r="G5" s="7"/>
      <c r="H5" s="7"/>
      <c r="I5" s="7"/>
      <c r="J5" s="7"/>
      <c r="K5" s="7"/>
      <c r="L5" s="7"/>
      <c r="M5" s="7"/>
    </row>
    <row r="6" spans="1:13" ht="15">
      <c r="A6" s="6"/>
      <c r="B6" s="108"/>
      <c r="C6" s="108"/>
      <c r="D6" s="109"/>
      <c r="E6" s="108"/>
      <c r="F6" s="108"/>
    </row>
    <row r="7" spans="1:13" ht="50.1" customHeight="1">
      <c r="A7" s="6"/>
      <c r="B7" s="6"/>
    </row>
    <row r="8" spans="1:13" ht="14.45" customHeight="1">
      <c r="A8" s="6"/>
      <c r="B8" s="6"/>
    </row>
    <row r="9" spans="1:13" ht="90" customHeight="1">
      <c r="C9" s="8"/>
      <c r="D9" s="8"/>
      <c r="E9" s="8"/>
      <c r="F9" s="8"/>
      <c r="G9" s="8"/>
      <c r="H9" s="8"/>
    </row>
    <row r="10" spans="1:13" ht="14.45" customHeight="1">
      <c r="A10" s="6"/>
      <c r="B10" s="6"/>
    </row>
    <row r="11" spans="1:13">
      <c r="A11" s="6"/>
      <c r="B11" s="6"/>
      <c r="D11" s="8"/>
    </row>
    <row r="12" spans="1:13">
      <c r="A12" s="6"/>
      <c r="B12" s="6"/>
      <c r="D12" s="8"/>
    </row>
    <row r="13" spans="1:13">
      <c r="A13" s="6"/>
      <c r="B13" s="6"/>
      <c r="D13" s="8"/>
    </row>
    <row r="14" spans="1:13">
      <c r="A14" s="6"/>
      <c r="B14" s="6"/>
      <c r="D14" s="8"/>
    </row>
    <row r="15" spans="1:13">
      <c r="A15" s="6"/>
      <c r="B15" s="6"/>
      <c r="D15" s="8"/>
    </row>
    <row r="16" spans="1:13">
      <c r="A16" s="6"/>
      <c r="B16" s="6"/>
      <c r="D16" s="8"/>
    </row>
    <row r="17" spans="1:4">
      <c r="A17" s="6"/>
      <c r="B17" s="6"/>
      <c r="D17" s="8"/>
    </row>
    <row r="18" spans="1:4">
      <c r="A18" s="6"/>
      <c r="B18" s="6"/>
      <c r="D18" s="8"/>
    </row>
    <row r="19" spans="1:4">
      <c r="A19" s="6"/>
      <c r="B19" s="6"/>
      <c r="D19" s="8"/>
    </row>
  </sheetData>
  <mergeCells count="3">
    <mergeCell ref="C2:E2"/>
    <mergeCell ref="C4:E4"/>
    <mergeCell ref="C5:E5"/>
  </mergeCells>
  <pageMargins left="0.5" right="0.5" top="0.5" bottom="0.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BP38"/>
  <sheetViews>
    <sheetView showGridLines="0" showRuler="0" topLeftCell="A11" zoomScale="85" zoomScaleNormal="85" zoomScalePageLayoutView="70" workbookViewId="0">
      <selection activeCell="B11" sqref="B11:B26"/>
    </sheetView>
  </sheetViews>
  <sheetFormatPr baseColWidth="10" defaultColWidth="9.140625" defaultRowHeight="30" customHeight="1"/>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row r="2" spans="1:68" ht="49.9" customHeight="1">
      <c r="A2" s="10"/>
      <c r="B2" s="136" t="s">
        <v>39</v>
      </c>
      <c r="C2" s="136"/>
      <c r="D2" s="136"/>
      <c r="E2" s="136"/>
      <c r="F2" s="136"/>
      <c r="G2" s="136"/>
      <c r="H2" s="136"/>
      <c r="I2" s="137"/>
      <c r="J2" s="137"/>
      <c r="K2" s="137"/>
      <c r="L2" s="137"/>
      <c r="M2" s="137"/>
      <c r="N2" s="137"/>
      <c r="O2" s="138"/>
      <c r="P2" s="138"/>
      <c r="Q2" s="138"/>
      <c r="R2" s="138"/>
      <c r="S2" s="138"/>
      <c r="T2" s="138"/>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row>
    <row r="3" spans="1:68" ht="19.899999999999999" customHeight="1">
      <c r="A3" s="10"/>
      <c r="B3" s="65"/>
      <c r="C3" s="66"/>
      <c r="D3" s="67"/>
      <c r="E3" s="67"/>
      <c r="F3" s="68"/>
      <c r="G3" s="67"/>
      <c r="H3" s="67"/>
      <c r="I3" s="81"/>
      <c r="J3" s="1"/>
      <c r="K3" s="1"/>
      <c r="L3" s="1"/>
    </row>
    <row r="4" spans="1:68" ht="30" customHeight="1">
      <c r="A4" s="10"/>
      <c r="B4" s="69" t="s">
        <v>36</v>
      </c>
      <c r="C4" s="70"/>
      <c r="D4" s="71"/>
      <c r="E4" s="72"/>
      <c r="F4" s="73"/>
      <c r="G4" s="74" t="s">
        <v>30</v>
      </c>
      <c r="H4" s="72"/>
      <c r="I4" s="129" t="s">
        <v>25</v>
      </c>
      <c r="J4" s="129"/>
      <c r="K4" s="129"/>
      <c r="L4" s="129"/>
      <c r="M4" s="129"/>
      <c r="N4" s="129"/>
      <c r="P4" s="139"/>
      <c r="Q4" s="139"/>
      <c r="R4" s="139"/>
      <c r="S4" s="139"/>
      <c r="T4" s="139"/>
      <c r="U4" s="139"/>
      <c r="W4" s="139"/>
      <c r="X4" s="139"/>
      <c r="Y4" s="139"/>
      <c r="Z4" s="139"/>
      <c r="AA4" s="139"/>
      <c r="AB4" s="139"/>
      <c r="AD4" s="139"/>
      <c r="AE4" s="139"/>
      <c r="AF4" s="139"/>
      <c r="AG4" s="139"/>
      <c r="AH4" s="139"/>
      <c r="AJ4" s="135"/>
      <c r="AK4" s="135"/>
      <c r="AL4" s="135"/>
      <c r="AM4" s="135"/>
      <c r="AN4" s="135"/>
      <c r="AO4" s="135"/>
      <c r="AP4" s="135"/>
    </row>
    <row r="5" spans="1:68" ht="30" customHeight="1">
      <c r="A5" s="10" t="s">
        <v>34</v>
      </c>
      <c r="B5" s="75" t="s">
        <v>37</v>
      </c>
      <c r="C5" s="71"/>
      <c r="D5" s="71"/>
      <c r="E5" s="72"/>
      <c r="F5" s="73"/>
      <c r="G5" s="72"/>
      <c r="H5" s="72"/>
    </row>
    <row r="6" spans="1:68" ht="30" customHeight="1">
      <c r="A6" s="10"/>
      <c r="B6" s="76" t="s">
        <v>6</v>
      </c>
      <c r="C6" s="77">
        <v>45965</v>
      </c>
      <c r="D6" s="78"/>
      <c r="E6" s="72"/>
      <c r="F6" s="73"/>
      <c r="G6" s="72"/>
      <c r="H6" s="72"/>
      <c r="I6" s="88" t="str">
        <f ca="1">TEXT(I7,"MMMM")</f>
        <v>November</v>
      </c>
      <c r="J6" s="88"/>
      <c r="K6" s="88"/>
      <c r="L6" s="88"/>
      <c r="M6" s="88"/>
      <c r="N6" s="88"/>
      <c r="O6" s="88"/>
      <c r="P6" s="88" t="str">
        <f ca="1">IF(TEXT(P7,"MMMM")=I6,"",TEXT(P7,"MMMM"))</f>
        <v/>
      </c>
      <c r="Q6" s="88"/>
      <c r="R6" s="88"/>
      <c r="S6" s="88"/>
      <c r="T6" s="88"/>
      <c r="U6" s="88"/>
      <c r="V6" s="88"/>
      <c r="W6" s="88" t="str">
        <f ca="1">IF(OR(TEXT(W7,"MMMM")=P6,TEXT(W7,"MMMM")=I6),"",TEXT(W7,"MMMM"))</f>
        <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Dezember</v>
      </c>
      <c r="AL6" s="88"/>
      <c r="AM6" s="88"/>
      <c r="AN6" s="88"/>
      <c r="AO6" s="88"/>
      <c r="AP6" s="88"/>
      <c r="AQ6" s="88"/>
      <c r="AR6" s="88" t="str">
        <f ca="1">IF(OR(TEXT(AR7,"MMMM")=AK6,TEXT(AR7,"MMMM")=AD6,TEXT(AR7,"MMMM")=W6,TEXT(AR7,"MMMM")=P6),"",TEXT(AR7,"MMMM"))</f>
        <v/>
      </c>
      <c r="AS6" s="88"/>
      <c r="AT6" s="88"/>
      <c r="AU6" s="88"/>
      <c r="AV6" s="88"/>
      <c r="AW6" s="88"/>
      <c r="AX6" s="89"/>
      <c r="AY6" s="89" t="str">
        <f ca="1">IF(OR(TEXT(AY7,"MMMM")=AR6,TEXT(AY7,"MMMM")=AK6,TEXT(AY7,"MMMM")=AD6,TEXT(AY7,"MMMM")=W6),"",TEXT(AY7,"MMMM"))</f>
        <v/>
      </c>
      <c r="AZ6" s="89"/>
      <c r="BA6" s="89"/>
      <c r="BB6" s="90"/>
      <c r="BC6" s="87"/>
      <c r="BD6" s="87"/>
      <c r="BE6" s="87"/>
      <c r="BF6" s="87" t="str">
        <f ca="1">IF(OR(TEXT(BF7,"MMMM")=AY6,TEXT(BF7,"MMMM")=AR6,TEXT(BF7,"MMMM")=AK6,TEXT(BF7,"MMMM")=AD6),"",TEXT(BF7,"MMMM"))</f>
        <v/>
      </c>
      <c r="BG6" s="87"/>
      <c r="BH6" s="87"/>
      <c r="BI6" s="87"/>
      <c r="BJ6" s="87"/>
      <c r="BK6" s="87"/>
      <c r="BL6" s="87"/>
    </row>
    <row r="7" spans="1:68" ht="30" customHeight="1">
      <c r="A7" s="10"/>
      <c r="B7" s="76" t="s">
        <v>7</v>
      </c>
      <c r="C7" s="79">
        <v>1</v>
      </c>
      <c r="D7" s="71"/>
      <c r="E7" s="72"/>
      <c r="F7" s="72"/>
      <c r="G7" s="72"/>
      <c r="H7" s="80"/>
      <c r="I7" s="95">
        <f ca="1">IFERROR(Projekt_Start+Scrollschrittweite,TODAY())</f>
        <v>45966</v>
      </c>
      <c r="J7" s="96">
        <f ca="1">I7+1</f>
        <v>45967</v>
      </c>
      <c r="K7" s="96">
        <f t="shared" ref="K7:AX7" ca="1" si="0">J7+1</f>
        <v>45968</v>
      </c>
      <c r="L7" s="96">
        <f t="shared" ca="1" si="0"/>
        <v>45969</v>
      </c>
      <c r="M7" s="96">
        <f t="shared" ca="1" si="0"/>
        <v>45970</v>
      </c>
      <c r="N7" s="96">
        <f t="shared" ca="1" si="0"/>
        <v>45971</v>
      </c>
      <c r="O7" s="97">
        <f t="shared" ca="1" si="0"/>
        <v>45972</v>
      </c>
      <c r="P7" s="96">
        <f ca="1">O7+1</f>
        <v>45973</v>
      </c>
      <c r="Q7" s="96">
        <f ca="1">P7+1</f>
        <v>45974</v>
      </c>
      <c r="R7" s="96">
        <f t="shared" ca="1" si="0"/>
        <v>45975</v>
      </c>
      <c r="S7" s="96">
        <f t="shared" ca="1" si="0"/>
        <v>45976</v>
      </c>
      <c r="T7" s="96">
        <f t="shared" ca="1" si="0"/>
        <v>45977</v>
      </c>
      <c r="U7" s="96">
        <f t="shared" ca="1" si="0"/>
        <v>45978</v>
      </c>
      <c r="V7" s="97">
        <f t="shared" ca="1" si="0"/>
        <v>45979</v>
      </c>
      <c r="W7" s="96">
        <f ca="1">V7+1</f>
        <v>45980</v>
      </c>
      <c r="X7" s="96">
        <f ca="1">W7+1</f>
        <v>45981</v>
      </c>
      <c r="Y7" s="96">
        <f t="shared" ca="1" si="0"/>
        <v>45982</v>
      </c>
      <c r="Z7" s="96">
        <f t="shared" ca="1" si="0"/>
        <v>45983</v>
      </c>
      <c r="AA7" s="96">
        <f t="shared" ca="1" si="0"/>
        <v>45984</v>
      </c>
      <c r="AB7" s="96">
        <f t="shared" ca="1" si="0"/>
        <v>45985</v>
      </c>
      <c r="AC7" s="97">
        <f t="shared" ca="1" si="0"/>
        <v>45986</v>
      </c>
      <c r="AD7" s="96">
        <f ca="1">AC7+1</f>
        <v>45987</v>
      </c>
      <c r="AE7" s="96">
        <f ca="1">AD7+1</f>
        <v>45988</v>
      </c>
      <c r="AF7" s="96">
        <f t="shared" ca="1" si="0"/>
        <v>45989</v>
      </c>
      <c r="AG7" s="96">
        <f t="shared" ca="1" si="0"/>
        <v>45990</v>
      </c>
      <c r="AH7" s="96">
        <f t="shared" ca="1" si="0"/>
        <v>45991</v>
      </c>
      <c r="AI7" s="96">
        <f t="shared" ca="1" si="0"/>
        <v>45992</v>
      </c>
      <c r="AJ7" s="97">
        <f t="shared" ca="1" si="0"/>
        <v>45993</v>
      </c>
      <c r="AK7" s="96">
        <f ca="1">AJ7+1</f>
        <v>45994</v>
      </c>
      <c r="AL7" s="96">
        <f ca="1">AK7+1</f>
        <v>45995</v>
      </c>
      <c r="AM7" s="96">
        <f t="shared" ca="1" si="0"/>
        <v>45996</v>
      </c>
      <c r="AN7" s="96">
        <f t="shared" ca="1" si="0"/>
        <v>45997</v>
      </c>
      <c r="AO7" s="96">
        <f t="shared" ca="1" si="0"/>
        <v>45998</v>
      </c>
      <c r="AP7" s="96">
        <f t="shared" ca="1" si="0"/>
        <v>45999</v>
      </c>
      <c r="AQ7" s="97">
        <f t="shared" ca="1" si="0"/>
        <v>46000</v>
      </c>
      <c r="AR7" s="96">
        <f ca="1">AQ7+1</f>
        <v>46001</v>
      </c>
      <c r="AS7" s="96">
        <f ca="1">AR7+1</f>
        <v>46002</v>
      </c>
      <c r="AT7" s="96">
        <f t="shared" ca="1" si="0"/>
        <v>46003</v>
      </c>
      <c r="AU7" s="96">
        <f t="shared" ca="1" si="0"/>
        <v>46004</v>
      </c>
      <c r="AV7" s="96">
        <f t="shared" ca="1" si="0"/>
        <v>46005</v>
      </c>
      <c r="AW7" s="96">
        <f t="shared" ca="1" si="0"/>
        <v>46006</v>
      </c>
      <c r="AX7" s="97">
        <f t="shared" ca="1" si="0"/>
        <v>46007</v>
      </c>
      <c r="AY7" s="96">
        <f ca="1">AX7+1</f>
        <v>46008</v>
      </c>
      <c r="AZ7" s="96">
        <f ca="1">AY7+1</f>
        <v>46009</v>
      </c>
      <c r="BA7" s="96">
        <f t="shared" ref="BA7:BE7" ca="1" si="1">AZ7+1</f>
        <v>46010</v>
      </c>
      <c r="BB7" s="96">
        <f t="shared" ca="1" si="1"/>
        <v>46011</v>
      </c>
      <c r="BC7" s="96">
        <f t="shared" ca="1" si="1"/>
        <v>46012</v>
      </c>
      <c r="BD7" s="96">
        <f t="shared" ca="1" si="1"/>
        <v>46013</v>
      </c>
      <c r="BE7" s="97">
        <f t="shared" ca="1" si="1"/>
        <v>46014</v>
      </c>
      <c r="BF7" s="96">
        <f ca="1">BE7+1</f>
        <v>46015</v>
      </c>
      <c r="BG7" s="96">
        <f ca="1">BF7+1</f>
        <v>46016</v>
      </c>
      <c r="BH7" s="96">
        <f t="shared" ref="BH7:BL7" ca="1" si="2">BG7+1</f>
        <v>46017</v>
      </c>
      <c r="BI7" s="96">
        <f t="shared" ca="1" si="2"/>
        <v>46018</v>
      </c>
      <c r="BJ7" s="96">
        <f t="shared" ca="1" si="2"/>
        <v>46019</v>
      </c>
      <c r="BK7" s="96">
        <f t="shared" ca="1" si="2"/>
        <v>46020</v>
      </c>
      <c r="BL7" s="97">
        <f t="shared" ca="1" si="2"/>
        <v>46021</v>
      </c>
    </row>
    <row r="8" spans="1:68" ht="19.899999999999999" customHeight="1">
      <c r="A8" s="10"/>
      <c r="B8" s="71"/>
      <c r="C8" s="71"/>
      <c r="D8" s="71"/>
      <c r="E8" s="72"/>
      <c r="F8" s="72"/>
      <c r="G8" s="72"/>
      <c r="H8" s="80"/>
      <c r="I8" s="98"/>
      <c r="J8" s="99"/>
      <c r="K8" s="99"/>
      <c r="L8" s="99"/>
      <c r="M8" s="99"/>
      <c r="N8" s="99"/>
      <c r="O8" s="99"/>
      <c r="P8" s="100"/>
      <c r="Q8" s="99"/>
      <c r="R8" s="99"/>
      <c r="S8" s="99"/>
      <c r="T8" s="99"/>
      <c r="U8" s="99"/>
      <c r="V8" s="101"/>
      <c r="W8" s="99"/>
      <c r="X8" s="99"/>
      <c r="Y8" s="99"/>
      <c r="Z8" s="99"/>
      <c r="AA8" s="99"/>
      <c r="AB8" s="99"/>
      <c r="AC8" s="101"/>
      <c r="AD8" s="99"/>
      <c r="AE8" s="99"/>
      <c r="AF8" s="99"/>
      <c r="AG8" s="99"/>
      <c r="AH8" s="99"/>
      <c r="AI8" s="99"/>
      <c r="AJ8" s="101"/>
      <c r="AK8" s="99"/>
      <c r="AL8" s="99"/>
      <c r="AM8" s="99"/>
      <c r="AN8" s="99"/>
      <c r="AO8" s="99"/>
      <c r="AP8" s="99"/>
      <c r="AQ8" s="101"/>
      <c r="AR8" s="99"/>
      <c r="AS8" s="99"/>
      <c r="AT8" s="99"/>
      <c r="AU8" s="99"/>
      <c r="AV8" s="99"/>
      <c r="AW8" s="99"/>
      <c r="AX8" s="101"/>
      <c r="AY8" s="99"/>
      <c r="AZ8" s="99"/>
      <c r="BA8" s="99"/>
      <c r="BB8" s="99"/>
      <c r="BC8" s="99"/>
      <c r="BD8" s="99"/>
      <c r="BE8" s="101"/>
      <c r="BF8" s="99"/>
      <c r="BG8" s="99"/>
      <c r="BH8" s="99"/>
      <c r="BI8" s="99"/>
      <c r="BJ8" s="99"/>
      <c r="BK8" s="99"/>
      <c r="BL8" s="102"/>
    </row>
    <row r="9" spans="1:68" ht="40.15" customHeight="1">
      <c r="A9" s="10" t="s">
        <v>35</v>
      </c>
      <c r="B9" s="111" t="s">
        <v>8</v>
      </c>
      <c r="C9" s="112" t="s">
        <v>19</v>
      </c>
      <c r="D9" s="122" t="s">
        <v>40</v>
      </c>
      <c r="E9" s="112" t="s">
        <v>28</v>
      </c>
      <c r="F9" s="112" t="s">
        <v>29</v>
      </c>
      <c r="G9" s="112" t="s">
        <v>31</v>
      </c>
      <c r="H9" s="85"/>
      <c r="I9" s="103" t="str">
        <f t="shared" ref="I9:AN9" ca="1" si="3">LEFT(TEXT(I7,"TTT"),1)</f>
        <v>M</v>
      </c>
      <c r="J9" s="103" t="str">
        <f t="shared" ca="1" si="3"/>
        <v>D</v>
      </c>
      <c r="K9" s="103" t="str">
        <f t="shared" ca="1" si="3"/>
        <v>F</v>
      </c>
      <c r="L9" s="103" t="str">
        <f t="shared" ca="1" si="3"/>
        <v>S</v>
      </c>
      <c r="M9" s="103" t="str">
        <f t="shared" ca="1" si="3"/>
        <v>S</v>
      </c>
      <c r="N9" s="103" t="str">
        <f t="shared" ca="1" si="3"/>
        <v>M</v>
      </c>
      <c r="O9" s="103" t="str">
        <f t="shared" ca="1" si="3"/>
        <v>D</v>
      </c>
      <c r="P9" s="103" t="str">
        <f t="shared" ca="1" si="3"/>
        <v>M</v>
      </c>
      <c r="Q9" s="103" t="str">
        <f t="shared" ca="1" si="3"/>
        <v>D</v>
      </c>
      <c r="R9" s="103" t="str">
        <f t="shared" ca="1" si="3"/>
        <v>F</v>
      </c>
      <c r="S9" s="103" t="str">
        <f t="shared" ca="1" si="3"/>
        <v>S</v>
      </c>
      <c r="T9" s="103" t="str">
        <f t="shared" ca="1" si="3"/>
        <v>S</v>
      </c>
      <c r="U9" s="103" t="str">
        <f t="shared" ca="1" si="3"/>
        <v>M</v>
      </c>
      <c r="V9" s="103" t="str">
        <f t="shared" ca="1" si="3"/>
        <v>D</v>
      </c>
      <c r="W9" s="103" t="str">
        <f t="shared" ca="1" si="3"/>
        <v>M</v>
      </c>
      <c r="X9" s="103" t="str">
        <f t="shared" ca="1" si="3"/>
        <v>D</v>
      </c>
      <c r="Y9" s="103" t="str">
        <f t="shared" ca="1" si="3"/>
        <v>F</v>
      </c>
      <c r="Z9" s="103" t="str">
        <f t="shared" ca="1" si="3"/>
        <v>S</v>
      </c>
      <c r="AA9" s="103" t="str">
        <f t="shared" ca="1" si="3"/>
        <v>S</v>
      </c>
      <c r="AB9" s="103" t="str">
        <f t="shared" ca="1" si="3"/>
        <v>M</v>
      </c>
      <c r="AC9" s="103" t="str">
        <f t="shared" ca="1" si="3"/>
        <v>D</v>
      </c>
      <c r="AD9" s="103" t="str">
        <f t="shared" ca="1" si="3"/>
        <v>M</v>
      </c>
      <c r="AE9" s="103" t="str">
        <f t="shared" ca="1" si="3"/>
        <v>D</v>
      </c>
      <c r="AF9" s="103" t="str">
        <f t="shared" ca="1" si="3"/>
        <v>F</v>
      </c>
      <c r="AG9" s="103" t="str">
        <f t="shared" ca="1" si="3"/>
        <v>S</v>
      </c>
      <c r="AH9" s="103" t="str">
        <f t="shared" ca="1" si="3"/>
        <v>S</v>
      </c>
      <c r="AI9" s="103" t="str">
        <f t="shared" ca="1" si="3"/>
        <v>M</v>
      </c>
      <c r="AJ9" s="103" t="str">
        <f t="shared" ca="1" si="3"/>
        <v>D</v>
      </c>
      <c r="AK9" s="103" t="str">
        <f t="shared" ca="1" si="3"/>
        <v>M</v>
      </c>
      <c r="AL9" s="103" t="str">
        <f t="shared" ca="1" si="3"/>
        <v>D</v>
      </c>
      <c r="AM9" s="103" t="str">
        <f t="shared" ca="1" si="3"/>
        <v>F</v>
      </c>
      <c r="AN9" s="103" t="str">
        <f t="shared" ca="1" si="3"/>
        <v>S</v>
      </c>
      <c r="AO9" s="103" t="str">
        <f t="shared" ref="AO9:BL9" ca="1" si="4">LEFT(TEXT(AO7,"TTT"),1)</f>
        <v>S</v>
      </c>
      <c r="AP9" s="103" t="str">
        <f t="shared" ca="1" si="4"/>
        <v>M</v>
      </c>
      <c r="AQ9" s="103" t="str">
        <f t="shared" ca="1" si="4"/>
        <v>D</v>
      </c>
      <c r="AR9" s="103" t="str">
        <f t="shared" ca="1" si="4"/>
        <v>M</v>
      </c>
      <c r="AS9" s="103" t="str">
        <f t="shared" ca="1" si="4"/>
        <v>D</v>
      </c>
      <c r="AT9" s="103" t="str">
        <f t="shared" ca="1" si="4"/>
        <v>F</v>
      </c>
      <c r="AU9" s="103" t="str">
        <f t="shared" ca="1" si="4"/>
        <v>S</v>
      </c>
      <c r="AV9" s="103" t="str">
        <f t="shared" ca="1" si="4"/>
        <v>S</v>
      </c>
      <c r="AW9" s="103" t="str">
        <f t="shared" ca="1" si="4"/>
        <v>M</v>
      </c>
      <c r="AX9" s="103" t="str">
        <f t="shared" ca="1" si="4"/>
        <v>D</v>
      </c>
      <c r="AY9" s="103" t="str">
        <f t="shared" ca="1" si="4"/>
        <v>M</v>
      </c>
      <c r="AZ9" s="103" t="str">
        <f t="shared" ca="1" si="4"/>
        <v>D</v>
      </c>
      <c r="BA9" s="103" t="str">
        <f t="shared" ca="1" si="4"/>
        <v>F</v>
      </c>
      <c r="BB9" s="103" t="str">
        <f t="shared" ca="1" si="4"/>
        <v>S</v>
      </c>
      <c r="BC9" s="103" t="str">
        <f t="shared" ca="1" si="4"/>
        <v>S</v>
      </c>
      <c r="BD9" s="103" t="str">
        <f t="shared" ca="1" si="4"/>
        <v>M</v>
      </c>
      <c r="BE9" s="103" t="str">
        <f t="shared" ca="1" si="4"/>
        <v>D</v>
      </c>
      <c r="BF9" s="103" t="str">
        <f t="shared" ca="1" si="4"/>
        <v>M</v>
      </c>
      <c r="BG9" s="103" t="str">
        <f t="shared" ca="1" si="4"/>
        <v>D</v>
      </c>
      <c r="BH9" s="103" t="str">
        <f t="shared" ca="1" si="4"/>
        <v>F</v>
      </c>
      <c r="BI9" s="103" t="str">
        <f t="shared" ca="1" si="4"/>
        <v>S</v>
      </c>
      <c r="BJ9" s="103" t="str">
        <f t="shared" ca="1" si="4"/>
        <v>S</v>
      </c>
      <c r="BK9" s="103" t="str">
        <f t="shared" ca="1" si="4"/>
        <v>M</v>
      </c>
      <c r="BL9" s="103" t="str">
        <f t="shared" ca="1" si="4"/>
        <v>D</v>
      </c>
    </row>
    <row r="10" spans="1:68" ht="30" hidden="1" customHeight="1">
      <c r="B10" s="16"/>
      <c r="C10" s="13"/>
      <c r="D10" s="12"/>
      <c r="E10" s="13"/>
      <c r="F10" s="14"/>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8" s="1" customFormat="1" ht="40.15" customHeight="1">
      <c r="A11" s="10"/>
      <c r="B11" s="123" t="s">
        <v>43</v>
      </c>
      <c r="C11" s="57" t="s">
        <v>41</v>
      </c>
      <c r="D11" s="57"/>
      <c r="E11" s="58">
        <v>1</v>
      </c>
      <c r="F11" s="59">
        <v>45965</v>
      </c>
      <c r="G11" s="60">
        <v>10</v>
      </c>
      <c r="H11" s="57"/>
      <c r="I11" s="25" t="str">
        <f t="shared" ref="I11:X13"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13"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13"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13"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39"/>
    </row>
    <row r="12" spans="1:68" s="1" customFormat="1" ht="40.15" customHeight="1">
      <c r="A12" s="10"/>
      <c r="B12" s="123"/>
      <c r="C12" s="57" t="s">
        <v>42</v>
      </c>
      <c r="D12" s="57"/>
      <c r="E12" s="58">
        <v>1</v>
      </c>
      <c r="F12" s="59">
        <v>45894</v>
      </c>
      <c r="G12" s="60">
        <v>1</v>
      </c>
      <c r="H12" s="57"/>
      <c r="I12" s="25" t="str">
        <f ca="1">IF(AND($C12="Ziel",I$7&gt;=$F12,I$7&lt;=$F12+$G12-1),2,IF(AND($C12="Meilenstein",I$7&gt;=$F12,I$7&lt;=$F12+$G12-1),1,""))</f>
        <v/>
      </c>
      <c r="J12" s="25" t="str">
        <f t="shared" ca="1" si="5"/>
        <v/>
      </c>
      <c r="K12" s="25" t="str">
        <f t="shared" ca="1" si="5"/>
        <v/>
      </c>
      <c r="L12" s="25" t="str">
        <f ca="1">IF(AND($C12="Ziel",L$7&gt;=$F12,L$7&lt;=$F12+$G12-1),2,IF(AND($C12="Meilenstein",L$7&gt;=$F12,L$7&lt;=$F12+$G12-1),1,""))</f>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c r="A13" s="10"/>
      <c r="B13" s="123" t="s">
        <v>44</v>
      </c>
      <c r="C13" s="57" t="s">
        <v>41</v>
      </c>
      <c r="D13" s="57"/>
      <c r="E13" s="58">
        <v>0.85</v>
      </c>
      <c r="F13" s="59">
        <v>45895</v>
      </c>
      <c r="G13" s="60">
        <v>10</v>
      </c>
      <c r="H13" s="57"/>
      <c r="I13" s="25" t="str">
        <f t="shared" ref="I13" ca="1" si="9">IF(AND($C13="Ziel",I$7&gt;=$F13,I$7&lt;=$F13+$G13-1),2,IF(AND($C13="Meilenstein",I$7&gt;=$F13,I$7&lt;=$F13+$G13-1),1,""))</f>
        <v/>
      </c>
      <c r="J13" s="25" t="str">
        <f t="shared" ca="1" si="5"/>
        <v/>
      </c>
      <c r="K13" s="25" t="str">
        <f t="shared" ca="1" si="5"/>
        <v/>
      </c>
      <c r="L13" s="25" t="str">
        <f t="shared" ca="1" si="5"/>
        <v/>
      </c>
      <c r="M13" s="25" t="str">
        <f t="shared" ca="1" si="5"/>
        <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c r="A14" s="9"/>
      <c r="B14" s="123"/>
      <c r="C14" s="57" t="s">
        <v>42</v>
      </c>
      <c r="D14" s="57"/>
      <c r="E14" s="58">
        <v>0</v>
      </c>
      <c r="F14" s="59">
        <v>45904</v>
      </c>
      <c r="G14" s="60">
        <v>1</v>
      </c>
      <c r="H14" s="57"/>
      <c r="I14" s="25" t="str">
        <f t="shared" ref="I14:R23" ca="1" si="10">IF(AND($C14="Ziel",I$7&gt;=$F14,I$7&lt;=$F14+$G14-1),2,IF(AND($C14="Meilenstein",I$7&gt;=$F14,I$7&lt;=$F14+$G14-1),1,""))</f>
        <v/>
      </c>
      <c r="J14" s="25" t="str">
        <f t="shared" ca="1" si="10"/>
        <v/>
      </c>
      <c r="K14" s="25" t="str">
        <f t="shared" ca="1" si="10"/>
        <v/>
      </c>
      <c r="L14" s="25" t="str">
        <f t="shared" ca="1" si="10"/>
        <v/>
      </c>
      <c r="M14" s="25" t="str">
        <f t="shared" ca="1" si="10"/>
        <v/>
      </c>
      <c r="N14" s="25" t="str">
        <f t="shared" ca="1" si="10"/>
        <v/>
      </c>
      <c r="O14" s="25" t="str">
        <f t="shared" ca="1" si="10"/>
        <v/>
      </c>
      <c r="P14" s="25" t="str">
        <f t="shared" ca="1" si="10"/>
        <v/>
      </c>
      <c r="Q14" s="25" t="str">
        <f t="shared" ca="1" si="10"/>
        <v/>
      </c>
      <c r="R14" s="25" t="str">
        <f t="shared" ca="1" si="10"/>
        <v/>
      </c>
      <c r="S14" s="25" t="str">
        <f t="shared" ref="S14:AB23" ca="1" si="11">IF(AND($C14="Ziel",S$7&gt;=$F14,S$7&lt;=$F14+$G14-1),2,IF(AND($C14="Meilenstein",S$7&gt;=$F14,S$7&lt;=$F14+$G14-1),1,""))</f>
        <v/>
      </c>
      <c r="T14" s="25" t="str">
        <f t="shared" ca="1" si="11"/>
        <v/>
      </c>
      <c r="U14" s="25" t="str">
        <f t="shared" ca="1" si="11"/>
        <v/>
      </c>
      <c r="V14" s="25" t="str">
        <f t="shared" ca="1" si="11"/>
        <v/>
      </c>
      <c r="W14" s="25" t="str">
        <f t="shared" ca="1" si="11"/>
        <v/>
      </c>
      <c r="X14" s="25" t="str">
        <f t="shared" ca="1" si="11"/>
        <v/>
      </c>
      <c r="Y14" s="25" t="str">
        <f t="shared" ca="1" si="11"/>
        <v/>
      </c>
      <c r="Z14" s="25" t="str">
        <f t="shared" ca="1" si="11"/>
        <v/>
      </c>
      <c r="AA14" s="25" t="str">
        <f t="shared" ca="1" si="11"/>
        <v/>
      </c>
      <c r="AB14" s="25" t="str">
        <f t="shared" ca="1" si="11"/>
        <v/>
      </c>
      <c r="AC14" s="25" t="str">
        <f t="shared" ref="AC14:AL23" ca="1" si="12">IF(AND($C14="Ziel",AC$7&gt;=$F14,AC$7&lt;=$F14+$G14-1),2,IF(AND($C14="Meilenstein",AC$7&gt;=$F14,AC$7&lt;=$F14+$G14-1),1,""))</f>
        <v/>
      </c>
      <c r="AD14" s="25" t="str">
        <f t="shared" ca="1" si="12"/>
        <v/>
      </c>
      <c r="AE14" s="25" t="str">
        <f t="shared" ca="1" si="12"/>
        <v/>
      </c>
      <c r="AF14" s="25" t="str">
        <f t="shared" ca="1" si="12"/>
        <v/>
      </c>
      <c r="AG14" s="25" t="str">
        <f t="shared" ca="1" si="12"/>
        <v/>
      </c>
      <c r="AH14" s="25" t="str">
        <f t="shared" ca="1" si="12"/>
        <v/>
      </c>
      <c r="AI14" s="25" t="str">
        <f t="shared" ca="1" si="12"/>
        <v/>
      </c>
      <c r="AJ14" s="25" t="str">
        <f t="shared" ca="1" si="12"/>
        <v/>
      </c>
      <c r="AK14" s="25" t="str">
        <f t="shared" ca="1" si="12"/>
        <v/>
      </c>
      <c r="AL14" s="25" t="str">
        <f t="shared" ca="1" si="12"/>
        <v/>
      </c>
      <c r="AM14" s="25" t="str">
        <f t="shared" ref="AM14:AV23" ca="1" si="13">IF(AND($C14="Ziel",AM$7&gt;=$F14,AM$7&lt;=$F14+$G14-1),2,IF(AND($C14="Meilenstein",AM$7&gt;=$F14,AM$7&lt;=$F14+$G14-1),1,""))</f>
        <v/>
      </c>
      <c r="AN14" s="25" t="str">
        <f t="shared" ca="1" si="13"/>
        <v/>
      </c>
      <c r="AO14" s="25" t="str">
        <f t="shared" ca="1" si="13"/>
        <v/>
      </c>
      <c r="AP14" s="25" t="str">
        <f t="shared" ca="1" si="13"/>
        <v/>
      </c>
      <c r="AQ14" s="25" t="str">
        <f t="shared" ca="1" si="13"/>
        <v/>
      </c>
      <c r="AR14" s="25" t="str">
        <f t="shared" ca="1" si="13"/>
        <v/>
      </c>
      <c r="AS14" s="25" t="str">
        <f t="shared" ca="1" si="13"/>
        <v/>
      </c>
      <c r="AT14" s="25" t="str">
        <f t="shared" ca="1" si="13"/>
        <v/>
      </c>
      <c r="AU14" s="25" t="str">
        <f t="shared" ca="1" si="13"/>
        <v/>
      </c>
      <c r="AV14" s="25" t="str">
        <f t="shared" ca="1" si="13"/>
        <v/>
      </c>
      <c r="AW14" s="25" t="str">
        <f t="shared" ref="AW14:BF23" ca="1" si="14">IF(AND($C14="Ziel",AW$7&gt;=$F14,AW$7&lt;=$F14+$G14-1),2,IF(AND($C14="Meilenstein",AW$7&gt;=$F14,AW$7&lt;=$F14+$G14-1),1,""))</f>
        <v/>
      </c>
      <c r="AX14" s="25" t="str">
        <f t="shared" ca="1" si="14"/>
        <v/>
      </c>
      <c r="AY14" s="25" t="str">
        <f t="shared" ca="1" si="14"/>
        <v/>
      </c>
      <c r="AZ14" s="25" t="str">
        <f t="shared" ca="1" si="14"/>
        <v/>
      </c>
      <c r="BA14" s="25" t="str">
        <f t="shared" ca="1" si="14"/>
        <v/>
      </c>
      <c r="BB14" s="25" t="str">
        <f t="shared" ca="1" si="14"/>
        <v/>
      </c>
      <c r="BC14" s="25" t="str">
        <f t="shared" ca="1" si="14"/>
        <v/>
      </c>
      <c r="BD14" s="25" t="str">
        <f t="shared" ca="1" si="14"/>
        <v/>
      </c>
      <c r="BE14" s="25" t="str">
        <f t="shared" ca="1" si="14"/>
        <v/>
      </c>
      <c r="BF14" s="25" t="str">
        <f t="shared" ca="1" si="14"/>
        <v/>
      </c>
      <c r="BG14" s="25" t="str">
        <f t="shared" ref="BG14:BL23" ca="1" si="15">IF(AND($C14="Ziel",BG$7&gt;=$F14,BG$7&lt;=$F14+$G14-1),2,IF(AND($C14="Meilenstein",BG$7&gt;=$F14,BG$7&lt;=$F14+$G14-1),1,""))</f>
        <v/>
      </c>
      <c r="BH14" s="25" t="str">
        <f t="shared" ca="1" si="15"/>
        <v/>
      </c>
      <c r="BI14" s="25" t="str">
        <f t="shared" ca="1" si="15"/>
        <v/>
      </c>
      <c r="BJ14" s="25" t="str">
        <f t="shared" ca="1" si="15"/>
        <v/>
      </c>
      <c r="BK14" s="25" t="str">
        <f t="shared" ca="1" si="15"/>
        <v/>
      </c>
      <c r="BL14" s="25" t="str">
        <f t="shared" ca="1" si="15"/>
        <v/>
      </c>
    </row>
    <row r="15" spans="1:68" s="1" customFormat="1" ht="40.15" customHeight="1">
      <c r="A15" s="9"/>
      <c r="B15" s="123" t="s">
        <v>45</v>
      </c>
      <c r="C15" s="57" t="s">
        <v>41</v>
      </c>
      <c r="D15" s="57"/>
      <c r="E15" s="58">
        <v>0.5</v>
      </c>
      <c r="F15" s="59">
        <v>45904</v>
      </c>
      <c r="G15" s="60">
        <v>8</v>
      </c>
      <c r="H15" s="57"/>
      <c r="I15" s="25" t="str">
        <f t="shared" ca="1" si="10"/>
        <v/>
      </c>
      <c r="J15" s="25" t="str">
        <f t="shared" ca="1" si="10"/>
        <v/>
      </c>
      <c r="K15" s="25" t="str">
        <f t="shared" ca="1" si="10"/>
        <v/>
      </c>
      <c r="L15" s="25" t="str">
        <f t="shared" ca="1" si="10"/>
        <v/>
      </c>
      <c r="M15" s="25" t="str">
        <f t="shared" ca="1" si="10"/>
        <v/>
      </c>
      <c r="N15" s="25" t="str">
        <f t="shared" ca="1" si="10"/>
        <v/>
      </c>
      <c r="O15" s="25" t="str">
        <f t="shared" ca="1" si="10"/>
        <v/>
      </c>
      <c r="P15" s="25" t="str">
        <f t="shared" ca="1" si="10"/>
        <v/>
      </c>
      <c r="Q15" s="25" t="str">
        <f t="shared" ca="1" si="10"/>
        <v/>
      </c>
      <c r="R15" s="25" t="str">
        <f t="shared" ca="1" si="10"/>
        <v/>
      </c>
      <c r="S15" s="25" t="str">
        <f t="shared" ca="1" si="11"/>
        <v/>
      </c>
      <c r="T15" s="25" t="str">
        <f t="shared" ca="1" si="11"/>
        <v/>
      </c>
      <c r="U15" s="25" t="str">
        <f t="shared" ca="1" si="11"/>
        <v/>
      </c>
      <c r="V15" s="25" t="str">
        <f t="shared" ca="1" si="11"/>
        <v/>
      </c>
      <c r="W15" s="25" t="str">
        <f t="shared" ca="1" si="11"/>
        <v/>
      </c>
      <c r="X15" s="25" t="str">
        <f t="shared" ca="1" si="11"/>
        <v/>
      </c>
      <c r="Y15" s="25" t="str">
        <f t="shared" ca="1" si="11"/>
        <v/>
      </c>
      <c r="Z15" s="25" t="str">
        <f t="shared" ca="1" si="11"/>
        <v/>
      </c>
      <c r="AA15" s="25" t="str">
        <f t="shared" ca="1" si="11"/>
        <v/>
      </c>
      <c r="AB15" s="25" t="str">
        <f t="shared" ca="1" si="11"/>
        <v/>
      </c>
      <c r="AC15" s="25" t="str">
        <f t="shared" ca="1" si="12"/>
        <v/>
      </c>
      <c r="AD15" s="25" t="str">
        <f t="shared" ca="1" si="12"/>
        <v/>
      </c>
      <c r="AE15" s="25" t="str">
        <f t="shared" ca="1" si="12"/>
        <v/>
      </c>
      <c r="AF15" s="25" t="str">
        <f t="shared" ca="1" si="12"/>
        <v/>
      </c>
      <c r="AG15" s="25" t="str">
        <f t="shared" ca="1" si="12"/>
        <v/>
      </c>
      <c r="AH15" s="25" t="str">
        <f t="shared" ca="1" si="12"/>
        <v/>
      </c>
      <c r="AI15" s="25" t="str">
        <f t="shared" ca="1" si="12"/>
        <v/>
      </c>
      <c r="AJ15" s="25" t="str">
        <f t="shared" ca="1" si="12"/>
        <v/>
      </c>
      <c r="AK15" s="25" t="str">
        <f t="shared" ca="1" si="12"/>
        <v/>
      </c>
      <c r="AL15" s="25" t="str">
        <f t="shared" ca="1" si="12"/>
        <v/>
      </c>
      <c r="AM15" s="25" t="str">
        <f t="shared" ca="1" si="13"/>
        <v/>
      </c>
      <c r="AN15" s="25" t="str">
        <f t="shared" ca="1" si="13"/>
        <v/>
      </c>
      <c r="AO15" s="25" t="str">
        <f t="shared" ca="1" si="13"/>
        <v/>
      </c>
      <c r="AP15" s="25" t="str">
        <f t="shared" ca="1" si="13"/>
        <v/>
      </c>
      <c r="AQ15" s="25" t="str">
        <f t="shared" ca="1" si="13"/>
        <v/>
      </c>
      <c r="AR15" s="25" t="str">
        <f t="shared" ca="1" si="13"/>
        <v/>
      </c>
      <c r="AS15" s="25" t="str">
        <f t="shared" ca="1" si="13"/>
        <v/>
      </c>
      <c r="AT15" s="25" t="str">
        <f t="shared" ca="1" si="13"/>
        <v/>
      </c>
      <c r="AU15" s="25" t="str">
        <f t="shared" ca="1" si="13"/>
        <v/>
      </c>
      <c r="AV15" s="25" t="str">
        <f t="shared" ca="1" si="13"/>
        <v/>
      </c>
      <c r="AW15" s="25" t="str">
        <f t="shared" ca="1" si="14"/>
        <v/>
      </c>
      <c r="AX15" s="25" t="str">
        <f t="shared" ca="1" si="14"/>
        <v/>
      </c>
      <c r="AY15" s="25" t="str">
        <f t="shared" ca="1" si="14"/>
        <v/>
      </c>
      <c r="AZ15" s="25" t="str">
        <f t="shared" ca="1" si="14"/>
        <v/>
      </c>
      <c r="BA15" s="25" t="str">
        <f t="shared" ca="1" si="14"/>
        <v/>
      </c>
      <c r="BB15" s="25" t="str">
        <f t="shared" ca="1" si="14"/>
        <v/>
      </c>
      <c r="BC15" s="25" t="str">
        <f t="shared" ca="1" si="14"/>
        <v/>
      </c>
      <c r="BD15" s="25" t="str">
        <f t="shared" ca="1" si="14"/>
        <v/>
      </c>
      <c r="BE15" s="25" t="str">
        <f t="shared" ca="1" si="14"/>
        <v/>
      </c>
      <c r="BF15" s="25" t="str">
        <f t="shared" ca="1" si="14"/>
        <v/>
      </c>
      <c r="BG15" s="25" t="str">
        <f t="shared" ca="1" si="15"/>
        <v/>
      </c>
      <c r="BH15" s="25" t="str">
        <f t="shared" ca="1" si="15"/>
        <v/>
      </c>
      <c r="BI15" s="25" t="str">
        <f t="shared" ca="1" si="15"/>
        <v/>
      </c>
      <c r="BJ15" s="25" t="str">
        <f t="shared" ca="1" si="15"/>
        <v/>
      </c>
      <c r="BK15" s="25" t="str">
        <f t="shared" ca="1" si="15"/>
        <v/>
      </c>
      <c r="BL15" s="25" t="str">
        <f t="shared" ca="1" si="15"/>
        <v/>
      </c>
    </row>
    <row r="16" spans="1:68" s="1" customFormat="1" ht="40.15" customHeight="1">
      <c r="A16" s="9"/>
      <c r="B16" s="123"/>
      <c r="C16" s="57" t="s">
        <v>42</v>
      </c>
      <c r="D16" s="57"/>
      <c r="E16" s="58">
        <v>0</v>
      </c>
      <c r="F16" s="59">
        <v>45911</v>
      </c>
      <c r="G16" s="60">
        <v>1</v>
      </c>
      <c r="H16" s="57"/>
      <c r="I16" s="25" t="str">
        <f t="shared" ca="1" si="10"/>
        <v/>
      </c>
      <c r="J16" s="25" t="str">
        <f t="shared" ca="1" si="10"/>
        <v/>
      </c>
      <c r="K16" s="25" t="str">
        <f t="shared" ca="1" si="10"/>
        <v/>
      </c>
      <c r="L16" s="25" t="str">
        <f t="shared" ca="1" si="10"/>
        <v/>
      </c>
      <c r="M16" s="25" t="str">
        <f t="shared" ca="1" si="10"/>
        <v/>
      </c>
      <c r="N16" s="25" t="str">
        <f t="shared" ca="1" si="10"/>
        <v/>
      </c>
      <c r="O16" s="25" t="str">
        <f t="shared" ca="1" si="10"/>
        <v/>
      </c>
      <c r="P16" s="25" t="str">
        <f t="shared" ca="1" si="10"/>
        <v/>
      </c>
      <c r="Q16" s="25" t="str">
        <f t="shared" ca="1" si="10"/>
        <v/>
      </c>
      <c r="R16" s="25" t="str">
        <f t="shared" ca="1" si="10"/>
        <v/>
      </c>
      <c r="S16" s="25" t="str">
        <f t="shared" ca="1" si="11"/>
        <v/>
      </c>
      <c r="T16" s="25" t="str">
        <f t="shared" ca="1" si="11"/>
        <v/>
      </c>
      <c r="U16" s="25" t="str">
        <f t="shared" ca="1" si="11"/>
        <v/>
      </c>
      <c r="V16" s="25" t="str">
        <f t="shared" ca="1" si="11"/>
        <v/>
      </c>
      <c r="W16" s="25" t="str">
        <f t="shared" ca="1" si="11"/>
        <v/>
      </c>
      <c r="X16" s="25" t="str">
        <f t="shared" ca="1" si="11"/>
        <v/>
      </c>
      <c r="Y16" s="25" t="str">
        <f t="shared" ca="1" si="11"/>
        <v/>
      </c>
      <c r="Z16" s="25" t="str">
        <f t="shared" ca="1" si="11"/>
        <v/>
      </c>
      <c r="AA16" s="25" t="str">
        <f t="shared" ca="1" si="11"/>
        <v/>
      </c>
      <c r="AB16" s="25" t="str">
        <f t="shared" ca="1" si="11"/>
        <v/>
      </c>
      <c r="AC16" s="25" t="str">
        <f t="shared" ca="1" si="12"/>
        <v/>
      </c>
      <c r="AD16" s="25" t="str">
        <f t="shared" ca="1" si="12"/>
        <v/>
      </c>
      <c r="AE16" s="25" t="str">
        <f t="shared" ca="1" si="12"/>
        <v/>
      </c>
      <c r="AF16" s="25" t="str">
        <f t="shared" ca="1" si="12"/>
        <v/>
      </c>
      <c r="AG16" s="25" t="str">
        <f t="shared" ca="1" si="12"/>
        <v/>
      </c>
      <c r="AH16" s="25" t="str">
        <f t="shared" ca="1" si="12"/>
        <v/>
      </c>
      <c r="AI16" s="25" t="str">
        <f t="shared" ca="1" si="12"/>
        <v/>
      </c>
      <c r="AJ16" s="25" t="str">
        <f t="shared" ca="1" si="12"/>
        <v/>
      </c>
      <c r="AK16" s="25" t="str">
        <f t="shared" ca="1" si="12"/>
        <v/>
      </c>
      <c r="AL16" s="25" t="str">
        <f t="shared" ca="1" si="12"/>
        <v/>
      </c>
      <c r="AM16" s="25" t="str">
        <f t="shared" ca="1" si="13"/>
        <v/>
      </c>
      <c r="AN16" s="25" t="str">
        <f t="shared" ca="1" si="13"/>
        <v/>
      </c>
      <c r="AO16" s="25" t="str">
        <f t="shared" ca="1" si="13"/>
        <v/>
      </c>
      <c r="AP16" s="25" t="str">
        <f t="shared" ca="1" si="13"/>
        <v/>
      </c>
      <c r="AQ16" s="25" t="str">
        <f t="shared" ca="1" si="13"/>
        <v/>
      </c>
      <c r="AR16" s="25" t="str">
        <f t="shared" ca="1" si="13"/>
        <v/>
      </c>
      <c r="AS16" s="25" t="str">
        <f t="shared" ca="1" si="13"/>
        <v/>
      </c>
      <c r="AT16" s="25" t="str">
        <f t="shared" ca="1" si="13"/>
        <v/>
      </c>
      <c r="AU16" s="25" t="str">
        <f t="shared" ca="1" si="13"/>
        <v/>
      </c>
      <c r="AV16" s="25" t="str">
        <f t="shared" ca="1" si="13"/>
        <v/>
      </c>
      <c r="AW16" s="25" t="str">
        <f t="shared" ca="1" si="14"/>
        <v/>
      </c>
      <c r="AX16" s="25" t="str">
        <f t="shared" ca="1" si="14"/>
        <v/>
      </c>
      <c r="AY16" s="25" t="str">
        <f t="shared" ca="1" si="14"/>
        <v/>
      </c>
      <c r="AZ16" s="25" t="str">
        <f t="shared" ca="1" si="14"/>
        <v/>
      </c>
      <c r="BA16" s="25" t="str">
        <f t="shared" ca="1" si="14"/>
        <v/>
      </c>
      <c r="BB16" s="25" t="str">
        <f t="shared" ca="1" si="14"/>
        <v/>
      </c>
      <c r="BC16" s="25" t="str">
        <f t="shared" ca="1" si="14"/>
        <v/>
      </c>
      <c r="BD16" s="25" t="str">
        <f t="shared" ca="1" si="14"/>
        <v/>
      </c>
      <c r="BE16" s="25" t="str">
        <f t="shared" ca="1" si="14"/>
        <v/>
      </c>
      <c r="BF16" s="25" t="str">
        <f t="shared" ca="1" si="14"/>
        <v/>
      </c>
      <c r="BG16" s="25" t="str">
        <f t="shared" ca="1" si="15"/>
        <v/>
      </c>
      <c r="BH16" s="25" t="str">
        <f t="shared" ca="1" si="15"/>
        <v/>
      </c>
      <c r="BI16" s="25" t="str">
        <f t="shared" ca="1" si="15"/>
        <v/>
      </c>
      <c r="BJ16" s="25" t="str">
        <f t="shared" ca="1" si="15"/>
        <v/>
      </c>
      <c r="BK16" s="25" t="str">
        <f t="shared" ca="1" si="15"/>
        <v/>
      </c>
      <c r="BL16" s="25" t="str">
        <f t="shared" ca="1" si="15"/>
        <v/>
      </c>
    </row>
    <row r="17" spans="1:64" s="1" customFormat="1" ht="40.15" customHeight="1">
      <c r="A17" s="10"/>
      <c r="B17" s="123" t="s">
        <v>46</v>
      </c>
      <c r="C17" s="57" t="s">
        <v>41</v>
      </c>
      <c r="D17" s="57"/>
      <c r="E17" s="58">
        <v>0</v>
      </c>
      <c r="F17" s="59">
        <v>45911</v>
      </c>
      <c r="G17" s="60">
        <v>6</v>
      </c>
      <c r="H17" s="57"/>
      <c r="I17" s="25" t="str">
        <f t="shared" ca="1" si="10"/>
        <v/>
      </c>
      <c r="J17" s="25" t="str">
        <f t="shared" ca="1" si="10"/>
        <v/>
      </c>
      <c r="K17" s="25" t="str">
        <f t="shared" ca="1" si="10"/>
        <v/>
      </c>
      <c r="L17" s="25" t="str">
        <f t="shared" ca="1" si="10"/>
        <v/>
      </c>
      <c r="M17" s="25" t="str">
        <f t="shared" ca="1" si="10"/>
        <v/>
      </c>
      <c r="N17" s="25" t="str">
        <f t="shared" ca="1" si="10"/>
        <v/>
      </c>
      <c r="O17" s="25" t="str">
        <f t="shared" ca="1" si="10"/>
        <v/>
      </c>
      <c r="P17" s="25" t="str">
        <f t="shared" ca="1" si="10"/>
        <v/>
      </c>
      <c r="Q17" s="25" t="str">
        <f t="shared" ca="1" si="10"/>
        <v/>
      </c>
      <c r="R17" s="25" t="str">
        <f t="shared" ca="1" si="10"/>
        <v/>
      </c>
      <c r="S17" s="25" t="str">
        <f t="shared" ca="1" si="11"/>
        <v/>
      </c>
      <c r="T17" s="25" t="str">
        <f t="shared" ca="1" si="11"/>
        <v/>
      </c>
      <c r="U17" s="25" t="str">
        <f t="shared" ca="1" si="11"/>
        <v/>
      </c>
      <c r="V17" s="25" t="str">
        <f t="shared" ca="1" si="11"/>
        <v/>
      </c>
      <c r="W17" s="25" t="str">
        <f t="shared" ca="1" si="11"/>
        <v/>
      </c>
      <c r="X17" s="25" t="str">
        <f t="shared" ca="1" si="11"/>
        <v/>
      </c>
      <c r="Y17" s="25" t="str">
        <f t="shared" ca="1" si="11"/>
        <v/>
      </c>
      <c r="Z17" s="25" t="str">
        <f t="shared" ca="1" si="11"/>
        <v/>
      </c>
      <c r="AA17" s="25" t="str">
        <f t="shared" ca="1" si="11"/>
        <v/>
      </c>
      <c r="AB17" s="25" t="str">
        <f t="shared" ca="1" si="11"/>
        <v/>
      </c>
      <c r="AC17" s="25" t="str">
        <f t="shared" ca="1" si="12"/>
        <v/>
      </c>
      <c r="AD17" s="25" t="str">
        <f t="shared" ca="1" si="12"/>
        <v/>
      </c>
      <c r="AE17" s="25" t="str">
        <f t="shared" ca="1" si="12"/>
        <v/>
      </c>
      <c r="AF17" s="25" t="str">
        <f t="shared" ca="1" si="12"/>
        <v/>
      </c>
      <c r="AG17" s="25" t="str">
        <f t="shared" ca="1" si="12"/>
        <v/>
      </c>
      <c r="AH17" s="25" t="str">
        <f t="shared" ca="1" si="12"/>
        <v/>
      </c>
      <c r="AI17" s="25" t="str">
        <f t="shared" ca="1" si="12"/>
        <v/>
      </c>
      <c r="AJ17" s="25" t="str">
        <f t="shared" ca="1" si="12"/>
        <v/>
      </c>
      <c r="AK17" s="25" t="str">
        <f t="shared" ca="1" si="12"/>
        <v/>
      </c>
      <c r="AL17" s="25" t="str">
        <f t="shared" ca="1" si="12"/>
        <v/>
      </c>
      <c r="AM17" s="25" t="str">
        <f t="shared" ca="1" si="13"/>
        <v/>
      </c>
      <c r="AN17" s="25" t="str">
        <f t="shared" ca="1" si="13"/>
        <v/>
      </c>
      <c r="AO17" s="25" t="str">
        <f t="shared" ca="1" si="13"/>
        <v/>
      </c>
      <c r="AP17" s="25" t="str">
        <f t="shared" ca="1" si="13"/>
        <v/>
      </c>
      <c r="AQ17" s="25" t="str">
        <f t="shared" ca="1" si="13"/>
        <v/>
      </c>
      <c r="AR17" s="25" t="str">
        <f t="shared" ca="1" si="13"/>
        <v/>
      </c>
      <c r="AS17" s="25" t="str">
        <f t="shared" ca="1" si="13"/>
        <v/>
      </c>
      <c r="AT17" s="25" t="str">
        <f t="shared" ca="1" si="13"/>
        <v/>
      </c>
      <c r="AU17" s="25" t="str">
        <f t="shared" ca="1" si="13"/>
        <v/>
      </c>
      <c r="AV17" s="25" t="str">
        <f t="shared" ca="1" si="13"/>
        <v/>
      </c>
      <c r="AW17" s="25" t="str">
        <f t="shared" ca="1" si="14"/>
        <v/>
      </c>
      <c r="AX17" s="25" t="str">
        <f t="shared" ca="1" si="14"/>
        <v/>
      </c>
      <c r="AY17" s="25" t="str">
        <f t="shared" ca="1" si="14"/>
        <v/>
      </c>
      <c r="AZ17" s="25" t="str">
        <f t="shared" ca="1" si="14"/>
        <v/>
      </c>
      <c r="BA17" s="25" t="str">
        <f t="shared" ca="1" si="14"/>
        <v/>
      </c>
      <c r="BB17" s="25" t="str">
        <f t="shared" ca="1" si="14"/>
        <v/>
      </c>
      <c r="BC17" s="25" t="str">
        <f t="shared" ca="1" si="14"/>
        <v/>
      </c>
      <c r="BD17" s="25" t="str">
        <f t="shared" ca="1" si="14"/>
        <v/>
      </c>
      <c r="BE17" s="25" t="str">
        <f t="shared" ca="1" si="14"/>
        <v/>
      </c>
      <c r="BF17" s="25" t="str">
        <f t="shared" ca="1" si="14"/>
        <v/>
      </c>
      <c r="BG17" s="25" t="str">
        <f t="shared" ca="1" si="15"/>
        <v/>
      </c>
      <c r="BH17" s="25" t="str">
        <f t="shared" ca="1" si="15"/>
        <v/>
      </c>
      <c r="BI17" s="25" t="str">
        <f t="shared" ca="1" si="15"/>
        <v/>
      </c>
      <c r="BJ17" s="25" t="str">
        <f t="shared" ca="1" si="15"/>
        <v/>
      </c>
      <c r="BK17" s="25" t="str">
        <f t="shared" ca="1" si="15"/>
        <v/>
      </c>
      <c r="BL17" s="25" t="str">
        <f t="shared" ca="1" si="15"/>
        <v/>
      </c>
    </row>
    <row r="18" spans="1:64" s="1" customFormat="1" ht="40.15" customHeight="1">
      <c r="A18" s="10"/>
      <c r="B18" s="123"/>
      <c r="C18" s="57" t="s">
        <v>42</v>
      </c>
      <c r="D18" s="57"/>
      <c r="E18" s="58">
        <v>0</v>
      </c>
      <c r="F18" s="59">
        <v>45916</v>
      </c>
      <c r="G18" s="60">
        <v>15</v>
      </c>
      <c r="H18" s="57"/>
      <c r="I18" s="25" t="str">
        <f t="shared" ca="1" si="10"/>
        <v/>
      </c>
      <c r="J18" s="25" t="str">
        <f t="shared" ca="1" si="10"/>
        <v/>
      </c>
      <c r="K18" s="25" t="str">
        <f t="shared" ca="1" si="10"/>
        <v/>
      </c>
      <c r="L18" s="25" t="str">
        <f t="shared" ca="1" si="10"/>
        <v/>
      </c>
      <c r="M18" s="25" t="str">
        <f t="shared" ca="1" si="10"/>
        <v/>
      </c>
      <c r="N18" s="25" t="str">
        <f t="shared" ca="1" si="10"/>
        <v/>
      </c>
      <c r="O18" s="25" t="str">
        <f t="shared" ca="1" si="10"/>
        <v/>
      </c>
      <c r="P18" s="25" t="str">
        <f t="shared" ca="1" si="10"/>
        <v/>
      </c>
      <c r="Q18" s="25" t="str">
        <f t="shared" ca="1" si="10"/>
        <v/>
      </c>
      <c r="R18" s="25" t="str">
        <f t="shared" ca="1" si="10"/>
        <v/>
      </c>
      <c r="S18" s="25" t="str">
        <f t="shared" ca="1" si="11"/>
        <v/>
      </c>
      <c r="T18" s="25" t="str">
        <f t="shared" ca="1" si="11"/>
        <v/>
      </c>
      <c r="U18" s="25" t="str">
        <f t="shared" ca="1" si="11"/>
        <v/>
      </c>
      <c r="V18" s="25" t="str">
        <f t="shared" ca="1" si="11"/>
        <v/>
      </c>
      <c r="W18" s="25" t="str">
        <f t="shared" ca="1" si="11"/>
        <v/>
      </c>
      <c r="X18" s="25" t="str">
        <f t="shared" ca="1" si="11"/>
        <v/>
      </c>
      <c r="Y18" s="25" t="str">
        <f t="shared" ca="1" si="11"/>
        <v/>
      </c>
      <c r="Z18" s="25" t="str">
        <f t="shared" ca="1" si="11"/>
        <v/>
      </c>
      <c r="AA18" s="25" t="str">
        <f t="shared" ca="1" si="11"/>
        <v/>
      </c>
      <c r="AB18" s="25" t="str">
        <f t="shared" ca="1" si="11"/>
        <v/>
      </c>
      <c r="AC18" s="25" t="str">
        <f t="shared" ca="1" si="12"/>
        <v/>
      </c>
      <c r="AD18" s="25" t="str">
        <f t="shared" ca="1" si="12"/>
        <v/>
      </c>
      <c r="AE18" s="25" t="str">
        <f t="shared" ca="1" si="12"/>
        <v/>
      </c>
      <c r="AF18" s="25" t="str">
        <f t="shared" ca="1" si="12"/>
        <v/>
      </c>
      <c r="AG18" s="25" t="str">
        <f t="shared" ca="1" si="12"/>
        <v/>
      </c>
      <c r="AH18" s="25" t="str">
        <f t="shared" ca="1" si="12"/>
        <v/>
      </c>
      <c r="AI18" s="25" t="str">
        <f t="shared" ca="1" si="12"/>
        <v/>
      </c>
      <c r="AJ18" s="25" t="str">
        <f t="shared" ca="1" si="12"/>
        <v/>
      </c>
      <c r="AK18" s="25" t="str">
        <f t="shared" ca="1" si="12"/>
        <v/>
      </c>
      <c r="AL18" s="25" t="str">
        <f t="shared" ca="1" si="12"/>
        <v/>
      </c>
      <c r="AM18" s="25" t="str">
        <f t="shared" ca="1" si="13"/>
        <v/>
      </c>
      <c r="AN18" s="25" t="str">
        <f t="shared" ca="1" si="13"/>
        <v/>
      </c>
      <c r="AO18" s="25" t="str">
        <f t="shared" ca="1" si="13"/>
        <v/>
      </c>
      <c r="AP18" s="25" t="str">
        <f t="shared" ca="1" si="13"/>
        <v/>
      </c>
      <c r="AQ18" s="25" t="str">
        <f t="shared" ca="1" si="13"/>
        <v/>
      </c>
      <c r="AR18" s="25" t="str">
        <f t="shared" ca="1" si="13"/>
        <v/>
      </c>
      <c r="AS18" s="25" t="str">
        <f t="shared" ca="1" si="13"/>
        <v/>
      </c>
      <c r="AT18" s="25" t="str">
        <f t="shared" ca="1" si="13"/>
        <v/>
      </c>
      <c r="AU18" s="25" t="str">
        <f t="shared" ca="1" si="13"/>
        <v/>
      </c>
      <c r="AV18" s="25" t="str">
        <f t="shared" ca="1" si="13"/>
        <v/>
      </c>
      <c r="AW18" s="25" t="str">
        <f t="shared" ca="1" si="14"/>
        <v/>
      </c>
      <c r="AX18" s="25" t="str">
        <f t="shared" ca="1" si="14"/>
        <v/>
      </c>
      <c r="AY18" s="25" t="str">
        <f t="shared" ca="1" si="14"/>
        <v/>
      </c>
      <c r="AZ18" s="25" t="str">
        <f t="shared" ca="1" si="14"/>
        <v/>
      </c>
      <c r="BA18" s="25" t="str">
        <f t="shared" ca="1" si="14"/>
        <v/>
      </c>
      <c r="BB18" s="25" t="str">
        <f t="shared" ca="1" si="14"/>
        <v/>
      </c>
      <c r="BC18" s="25" t="str">
        <f t="shared" ca="1" si="14"/>
        <v/>
      </c>
      <c r="BD18" s="25" t="str">
        <f t="shared" ca="1" si="14"/>
        <v/>
      </c>
      <c r="BE18" s="25" t="str">
        <f t="shared" ca="1" si="14"/>
        <v/>
      </c>
      <c r="BF18" s="25" t="str">
        <f t="shared" ca="1" si="14"/>
        <v/>
      </c>
      <c r="BG18" s="25" t="str">
        <f t="shared" ca="1" si="15"/>
        <v/>
      </c>
      <c r="BH18" s="25" t="str">
        <f t="shared" ca="1" si="15"/>
        <v/>
      </c>
      <c r="BI18" s="25" t="str">
        <f t="shared" ca="1" si="15"/>
        <v/>
      </c>
      <c r="BJ18" s="25" t="str">
        <f t="shared" ca="1" si="15"/>
        <v/>
      </c>
      <c r="BK18" s="25" t="str">
        <f t="shared" ca="1" si="15"/>
        <v/>
      </c>
      <c r="BL18" s="25" t="str">
        <f t="shared" ca="1" si="15"/>
        <v/>
      </c>
    </row>
    <row r="19" spans="1:64" s="1" customFormat="1" ht="40.15" customHeight="1">
      <c r="A19" s="9"/>
      <c r="B19" s="123" t="s">
        <v>47</v>
      </c>
      <c r="C19" s="57" t="s">
        <v>41</v>
      </c>
      <c r="D19" s="57"/>
      <c r="E19" s="58">
        <v>0</v>
      </c>
      <c r="F19" s="59">
        <v>45930</v>
      </c>
      <c r="G19" s="60">
        <v>3</v>
      </c>
      <c r="H19" s="57"/>
      <c r="I19" s="25" t="str">
        <f t="shared" ca="1" si="10"/>
        <v/>
      </c>
      <c r="J19" s="25" t="str">
        <f t="shared" ca="1" si="10"/>
        <v/>
      </c>
      <c r="K19" s="25" t="str">
        <f t="shared" ca="1" si="10"/>
        <v/>
      </c>
      <c r="L19" s="25" t="str">
        <f t="shared" ca="1" si="10"/>
        <v/>
      </c>
      <c r="M19" s="25" t="str">
        <f t="shared" ca="1" si="10"/>
        <v/>
      </c>
      <c r="N19" s="25" t="str">
        <f t="shared" ca="1" si="10"/>
        <v/>
      </c>
      <c r="O19" s="25" t="str">
        <f t="shared" ca="1" si="10"/>
        <v/>
      </c>
      <c r="P19" s="25" t="str">
        <f t="shared" ca="1" si="10"/>
        <v/>
      </c>
      <c r="Q19" s="25" t="str">
        <f t="shared" ca="1" si="10"/>
        <v/>
      </c>
      <c r="R19" s="25" t="str">
        <f t="shared" ca="1" si="10"/>
        <v/>
      </c>
      <c r="S19" s="25" t="str">
        <f t="shared" ca="1" si="11"/>
        <v/>
      </c>
      <c r="T19" s="25" t="str">
        <f t="shared" ca="1" si="11"/>
        <v/>
      </c>
      <c r="U19" s="25" t="str">
        <f t="shared" ca="1" si="11"/>
        <v/>
      </c>
      <c r="V19" s="25" t="str">
        <f t="shared" ca="1" si="11"/>
        <v/>
      </c>
      <c r="W19" s="25" t="str">
        <f t="shared" ca="1" si="11"/>
        <v/>
      </c>
      <c r="X19" s="25" t="str">
        <f t="shared" ca="1" si="11"/>
        <v/>
      </c>
      <c r="Y19" s="25" t="str">
        <f t="shared" ca="1" si="11"/>
        <v/>
      </c>
      <c r="Z19" s="25" t="str">
        <f t="shared" ca="1" si="11"/>
        <v/>
      </c>
      <c r="AA19" s="25" t="str">
        <f t="shared" ca="1" si="11"/>
        <v/>
      </c>
      <c r="AB19" s="25" t="str">
        <f t="shared" ca="1" si="11"/>
        <v/>
      </c>
      <c r="AC19" s="25" t="str">
        <f t="shared" ca="1" si="12"/>
        <v/>
      </c>
      <c r="AD19" s="25" t="str">
        <f t="shared" ca="1" si="12"/>
        <v/>
      </c>
      <c r="AE19" s="25" t="str">
        <f t="shared" ca="1" si="12"/>
        <v/>
      </c>
      <c r="AF19" s="25" t="str">
        <f t="shared" ca="1" si="12"/>
        <v/>
      </c>
      <c r="AG19" s="25" t="str">
        <f t="shared" ca="1" si="12"/>
        <v/>
      </c>
      <c r="AH19" s="25" t="str">
        <f t="shared" ca="1" si="12"/>
        <v/>
      </c>
      <c r="AI19" s="25" t="str">
        <f t="shared" ca="1" si="12"/>
        <v/>
      </c>
      <c r="AJ19" s="25" t="str">
        <f t="shared" ca="1" si="12"/>
        <v/>
      </c>
      <c r="AK19" s="25" t="str">
        <f t="shared" ca="1" si="12"/>
        <v/>
      </c>
      <c r="AL19" s="25" t="str">
        <f t="shared" ca="1" si="12"/>
        <v/>
      </c>
      <c r="AM19" s="25" t="str">
        <f t="shared" ca="1" si="13"/>
        <v/>
      </c>
      <c r="AN19" s="25" t="str">
        <f t="shared" ca="1" si="13"/>
        <v/>
      </c>
      <c r="AO19" s="25" t="str">
        <f t="shared" ca="1" si="13"/>
        <v/>
      </c>
      <c r="AP19" s="25" t="str">
        <f t="shared" ca="1" si="13"/>
        <v/>
      </c>
      <c r="AQ19" s="25" t="str">
        <f t="shared" ca="1" si="13"/>
        <v/>
      </c>
      <c r="AR19" s="25" t="str">
        <f t="shared" ca="1" si="13"/>
        <v/>
      </c>
      <c r="AS19" s="25" t="str">
        <f t="shared" ca="1" si="13"/>
        <v/>
      </c>
      <c r="AT19" s="25" t="str">
        <f t="shared" ca="1" si="13"/>
        <v/>
      </c>
      <c r="AU19" s="25" t="str">
        <f t="shared" ca="1" si="13"/>
        <v/>
      </c>
      <c r="AV19" s="25" t="str">
        <f t="shared" ca="1" si="13"/>
        <v/>
      </c>
      <c r="AW19" s="25" t="str">
        <f t="shared" ca="1" si="14"/>
        <v/>
      </c>
      <c r="AX19" s="25" t="str">
        <f t="shared" ca="1" si="14"/>
        <v/>
      </c>
      <c r="AY19" s="25" t="str">
        <f t="shared" ca="1" si="14"/>
        <v/>
      </c>
      <c r="AZ19" s="25" t="str">
        <f t="shared" ca="1" si="14"/>
        <v/>
      </c>
      <c r="BA19" s="25" t="str">
        <f t="shared" ca="1" si="14"/>
        <v/>
      </c>
      <c r="BB19" s="25" t="str">
        <f t="shared" ca="1" si="14"/>
        <v/>
      </c>
      <c r="BC19" s="25" t="str">
        <f t="shared" ca="1" si="14"/>
        <v/>
      </c>
      <c r="BD19" s="25" t="str">
        <f t="shared" ca="1" si="14"/>
        <v/>
      </c>
      <c r="BE19" s="25" t="str">
        <f t="shared" ca="1" si="14"/>
        <v/>
      </c>
      <c r="BF19" s="25" t="str">
        <f t="shared" ca="1" si="14"/>
        <v/>
      </c>
      <c r="BG19" s="25" t="str">
        <f t="shared" ca="1" si="15"/>
        <v/>
      </c>
      <c r="BH19" s="25" t="str">
        <f t="shared" ca="1" si="15"/>
        <v/>
      </c>
      <c r="BI19" s="25" t="str">
        <f t="shared" ca="1" si="15"/>
        <v/>
      </c>
      <c r="BJ19" s="25" t="str">
        <f t="shared" ca="1" si="15"/>
        <v/>
      </c>
      <c r="BK19" s="25" t="str">
        <f t="shared" ca="1" si="15"/>
        <v/>
      </c>
      <c r="BL19" s="25" t="str">
        <f t="shared" ca="1" si="15"/>
        <v/>
      </c>
    </row>
    <row r="20" spans="1:64" s="1" customFormat="1" ht="40.15" customHeight="1">
      <c r="A20" s="9"/>
      <c r="B20" s="123"/>
      <c r="C20" s="57" t="s">
        <v>42</v>
      </c>
      <c r="D20" s="57"/>
      <c r="E20" s="58">
        <v>0</v>
      </c>
      <c r="F20" s="59">
        <v>45933</v>
      </c>
      <c r="G20" s="60">
        <v>8</v>
      </c>
      <c r="H20" s="57"/>
      <c r="I20" s="25" t="str">
        <f t="shared" ca="1" si="10"/>
        <v/>
      </c>
      <c r="J20" s="25" t="str">
        <f t="shared" ca="1" si="10"/>
        <v/>
      </c>
      <c r="K20" s="25" t="str">
        <f t="shared" ca="1" si="10"/>
        <v/>
      </c>
      <c r="L20" s="25" t="str">
        <f t="shared" ca="1" si="10"/>
        <v/>
      </c>
      <c r="M20" s="25" t="str">
        <f t="shared" ca="1" si="10"/>
        <v/>
      </c>
      <c r="N20" s="25" t="str">
        <f t="shared" ca="1" si="10"/>
        <v/>
      </c>
      <c r="O20" s="25" t="str">
        <f t="shared" ca="1" si="10"/>
        <v/>
      </c>
      <c r="P20" s="25" t="str">
        <f t="shared" ca="1" si="10"/>
        <v/>
      </c>
      <c r="Q20" s="25" t="str">
        <f t="shared" ca="1" si="10"/>
        <v/>
      </c>
      <c r="R20" s="25" t="str">
        <f t="shared" ca="1" si="10"/>
        <v/>
      </c>
      <c r="S20" s="25" t="str">
        <f t="shared" ca="1" si="11"/>
        <v/>
      </c>
      <c r="T20" s="25" t="str">
        <f t="shared" ca="1" si="11"/>
        <v/>
      </c>
      <c r="U20" s="25" t="str">
        <f t="shared" ca="1" si="11"/>
        <v/>
      </c>
      <c r="V20" s="25" t="str">
        <f t="shared" ca="1" si="11"/>
        <v/>
      </c>
      <c r="W20" s="25" t="str">
        <f t="shared" ca="1" si="11"/>
        <v/>
      </c>
      <c r="X20" s="25" t="str">
        <f t="shared" ca="1" si="11"/>
        <v/>
      </c>
      <c r="Y20" s="25" t="str">
        <f t="shared" ca="1" si="11"/>
        <v/>
      </c>
      <c r="Z20" s="25" t="str">
        <f t="shared" ca="1" si="11"/>
        <v/>
      </c>
      <c r="AA20" s="25" t="str">
        <f t="shared" ca="1" si="11"/>
        <v/>
      </c>
      <c r="AB20" s="25" t="str">
        <f t="shared" ca="1" si="11"/>
        <v/>
      </c>
      <c r="AC20" s="25" t="str">
        <f t="shared" ca="1" si="12"/>
        <v/>
      </c>
      <c r="AD20" s="25" t="str">
        <f t="shared" ca="1" si="12"/>
        <v/>
      </c>
      <c r="AE20" s="25" t="str">
        <f t="shared" ca="1" si="12"/>
        <v/>
      </c>
      <c r="AF20" s="25" t="str">
        <f t="shared" ca="1" si="12"/>
        <v/>
      </c>
      <c r="AG20" s="25" t="str">
        <f t="shared" ca="1" si="12"/>
        <v/>
      </c>
      <c r="AH20" s="25" t="str">
        <f t="shared" ca="1" si="12"/>
        <v/>
      </c>
      <c r="AI20" s="25" t="str">
        <f t="shared" ca="1" si="12"/>
        <v/>
      </c>
      <c r="AJ20" s="25" t="str">
        <f t="shared" ca="1" si="12"/>
        <v/>
      </c>
      <c r="AK20" s="25" t="str">
        <f t="shared" ca="1" si="12"/>
        <v/>
      </c>
      <c r="AL20" s="25" t="str">
        <f t="shared" ca="1" si="12"/>
        <v/>
      </c>
      <c r="AM20" s="25" t="str">
        <f t="shared" ca="1" si="13"/>
        <v/>
      </c>
      <c r="AN20" s="25" t="str">
        <f t="shared" ca="1" si="13"/>
        <v/>
      </c>
      <c r="AO20" s="25" t="str">
        <f t="shared" ca="1" si="13"/>
        <v/>
      </c>
      <c r="AP20" s="25" t="str">
        <f t="shared" ca="1" si="13"/>
        <v/>
      </c>
      <c r="AQ20" s="25" t="str">
        <f t="shared" ca="1" si="13"/>
        <v/>
      </c>
      <c r="AR20" s="25" t="str">
        <f t="shared" ca="1" si="13"/>
        <v/>
      </c>
      <c r="AS20" s="25" t="str">
        <f t="shared" ca="1" si="13"/>
        <v/>
      </c>
      <c r="AT20" s="25" t="str">
        <f t="shared" ca="1" si="13"/>
        <v/>
      </c>
      <c r="AU20" s="25" t="str">
        <f t="shared" ca="1" si="13"/>
        <v/>
      </c>
      <c r="AV20" s="25" t="str">
        <f t="shared" ca="1" si="13"/>
        <v/>
      </c>
      <c r="AW20" s="25" t="str">
        <f t="shared" ca="1" si="14"/>
        <v/>
      </c>
      <c r="AX20" s="25" t="str">
        <f t="shared" ca="1" si="14"/>
        <v/>
      </c>
      <c r="AY20" s="25" t="str">
        <f t="shared" ca="1" si="14"/>
        <v/>
      </c>
      <c r="AZ20" s="25" t="str">
        <f t="shared" ca="1" si="14"/>
        <v/>
      </c>
      <c r="BA20" s="25" t="str">
        <f t="shared" ca="1" si="14"/>
        <v/>
      </c>
      <c r="BB20" s="25" t="str">
        <f t="shared" ca="1" si="14"/>
        <v/>
      </c>
      <c r="BC20" s="25" t="str">
        <f t="shared" ca="1" si="14"/>
        <v/>
      </c>
      <c r="BD20" s="25" t="str">
        <f t="shared" ca="1" si="14"/>
        <v/>
      </c>
      <c r="BE20" s="25" t="str">
        <f t="shared" ca="1" si="14"/>
        <v/>
      </c>
      <c r="BF20" s="25" t="str">
        <f t="shared" ca="1" si="14"/>
        <v/>
      </c>
      <c r="BG20" s="25" t="str">
        <f t="shared" ca="1" si="15"/>
        <v/>
      </c>
      <c r="BH20" s="25" t="str">
        <f t="shared" ca="1" si="15"/>
        <v/>
      </c>
      <c r="BI20" s="25" t="str">
        <f t="shared" ca="1" si="15"/>
        <v/>
      </c>
      <c r="BJ20" s="25" t="str">
        <f t="shared" ca="1" si="15"/>
        <v/>
      </c>
      <c r="BK20" s="25" t="str">
        <f t="shared" ca="1" si="15"/>
        <v/>
      </c>
      <c r="BL20" s="25" t="str">
        <f t="shared" ca="1" si="15"/>
        <v/>
      </c>
    </row>
    <row r="21" spans="1:64" s="1" customFormat="1" ht="40.15" customHeight="1">
      <c r="A21" s="9"/>
      <c r="B21" s="123" t="s">
        <v>48</v>
      </c>
      <c r="C21" s="57" t="s">
        <v>41</v>
      </c>
      <c r="D21" s="57"/>
      <c r="E21" s="58">
        <v>0</v>
      </c>
      <c r="F21" s="59">
        <v>45940</v>
      </c>
      <c r="G21" s="60">
        <v>8</v>
      </c>
      <c r="H21" s="57"/>
      <c r="I21" s="25" t="str">
        <f t="shared" ca="1" si="10"/>
        <v/>
      </c>
      <c r="J21" s="25" t="str">
        <f t="shared" ca="1" si="10"/>
        <v/>
      </c>
      <c r="K21" s="25" t="str">
        <f t="shared" ca="1" si="10"/>
        <v/>
      </c>
      <c r="L21" s="25" t="str">
        <f t="shared" ca="1" si="10"/>
        <v/>
      </c>
      <c r="M21" s="25" t="str">
        <f t="shared" ca="1" si="10"/>
        <v/>
      </c>
      <c r="N21" s="25" t="str">
        <f t="shared" ca="1" si="10"/>
        <v/>
      </c>
      <c r="O21" s="25" t="str">
        <f t="shared" ca="1" si="10"/>
        <v/>
      </c>
      <c r="P21" s="25" t="str">
        <f t="shared" ca="1" si="10"/>
        <v/>
      </c>
      <c r="Q21" s="25" t="str">
        <f t="shared" ca="1" si="10"/>
        <v/>
      </c>
      <c r="R21" s="25" t="str">
        <f t="shared" ca="1" si="10"/>
        <v/>
      </c>
      <c r="S21" s="25" t="str">
        <f t="shared" ca="1" si="11"/>
        <v/>
      </c>
      <c r="T21" s="25" t="str">
        <f t="shared" ca="1" si="11"/>
        <v/>
      </c>
      <c r="U21" s="25" t="str">
        <f t="shared" ca="1" si="11"/>
        <v/>
      </c>
      <c r="V21" s="25" t="str">
        <f t="shared" ca="1" si="11"/>
        <v/>
      </c>
      <c r="W21" s="25" t="str">
        <f t="shared" ca="1" si="11"/>
        <v/>
      </c>
      <c r="X21" s="25" t="str">
        <f t="shared" ca="1" si="11"/>
        <v/>
      </c>
      <c r="Y21" s="25" t="str">
        <f t="shared" ca="1" si="11"/>
        <v/>
      </c>
      <c r="Z21" s="25" t="str">
        <f t="shared" ca="1" si="11"/>
        <v/>
      </c>
      <c r="AA21" s="25" t="str">
        <f t="shared" ca="1" si="11"/>
        <v/>
      </c>
      <c r="AB21" s="25" t="str">
        <f t="shared" ca="1" si="11"/>
        <v/>
      </c>
      <c r="AC21" s="25" t="str">
        <f t="shared" ca="1" si="12"/>
        <v/>
      </c>
      <c r="AD21" s="25" t="str">
        <f t="shared" ca="1" si="12"/>
        <v/>
      </c>
      <c r="AE21" s="25" t="str">
        <f t="shared" ca="1" si="12"/>
        <v/>
      </c>
      <c r="AF21" s="25" t="str">
        <f t="shared" ca="1" si="12"/>
        <v/>
      </c>
      <c r="AG21" s="25" t="str">
        <f t="shared" ca="1" si="12"/>
        <v/>
      </c>
      <c r="AH21" s="25" t="str">
        <f t="shared" ca="1" si="12"/>
        <v/>
      </c>
      <c r="AI21" s="25" t="str">
        <f t="shared" ca="1" si="12"/>
        <v/>
      </c>
      <c r="AJ21" s="25" t="str">
        <f t="shared" ca="1" si="12"/>
        <v/>
      </c>
      <c r="AK21" s="25" t="str">
        <f t="shared" ca="1" si="12"/>
        <v/>
      </c>
      <c r="AL21" s="25" t="str">
        <f t="shared" ca="1" si="12"/>
        <v/>
      </c>
      <c r="AM21" s="25" t="str">
        <f t="shared" ca="1" si="13"/>
        <v/>
      </c>
      <c r="AN21" s="25" t="str">
        <f t="shared" ca="1" si="13"/>
        <v/>
      </c>
      <c r="AO21" s="25" t="str">
        <f t="shared" ca="1" si="13"/>
        <v/>
      </c>
      <c r="AP21" s="25" t="str">
        <f t="shared" ca="1" si="13"/>
        <v/>
      </c>
      <c r="AQ21" s="25" t="str">
        <f t="shared" ca="1" si="13"/>
        <v/>
      </c>
      <c r="AR21" s="25" t="str">
        <f t="shared" ca="1" si="13"/>
        <v/>
      </c>
      <c r="AS21" s="25" t="str">
        <f t="shared" ca="1" si="13"/>
        <v/>
      </c>
      <c r="AT21" s="25" t="str">
        <f t="shared" ca="1" si="13"/>
        <v/>
      </c>
      <c r="AU21" s="25" t="str">
        <f t="shared" ca="1" si="13"/>
        <v/>
      </c>
      <c r="AV21" s="25" t="str">
        <f t="shared" ca="1" si="13"/>
        <v/>
      </c>
      <c r="AW21" s="25" t="str">
        <f t="shared" ca="1" si="14"/>
        <v/>
      </c>
      <c r="AX21" s="25" t="str">
        <f t="shared" ca="1" si="14"/>
        <v/>
      </c>
      <c r="AY21" s="25" t="str">
        <f t="shared" ca="1" si="14"/>
        <v/>
      </c>
      <c r="AZ21" s="25" t="str">
        <f t="shared" ca="1" si="14"/>
        <v/>
      </c>
      <c r="BA21" s="25" t="str">
        <f t="shared" ca="1" si="14"/>
        <v/>
      </c>
      <c r="BB21" s="25" t="str">
        <f t="shared" ca="1" si="14"/>
        <v/>
      </c>
      <c r="BC21" s="25" t="str">
        <f t="shared" ca="1" si="14"/>
        <v/>
      </c>
      <c r="BD21" s="25" t="str">
        <f t="shared" ca="1" si="14"/>
        <v/>
      </c>
      <c r="BE21" s="25" t="str">
        <f t="shared" ca="1" si="14"/>
        <v/>
      </c>
      <c r="BF21" s="25" t="str">
        <f t="shared" ca="1" si="14"/>
        <v/>
      </c>
      <c r="BG21" s="25" t="str">
        <f t="shared" ca="1" si="15"/>
        <v/>
      </c>
      <c r="BH21" s="25" t="str">
        <f t="shared" ca="1" si="15"/>
        <v/>
      </c>
      <c r="BI21" s="25" t="str">
        <f t="shared" ca="1" si="15"/>
        <v/>
      </c>
      <c r="BJ21" s="25" t="str">
        <f t="shared" ca="1" si="15"/>
        <v/>
      </c>
      <c r="BK21" s="25" t="str">
        <f t="shared" ca="1" si="15"/>
        <v/>
      </c>
      <c r="BL21" s="25" t="str">
        <f t="shared" ca="1" si="15"/>
        <v/>
      </c>
    </row>
    <row r="22" spans="1:64" s="1" customFormat="1" ht="40.15" customHeight="1">
      <c r="A22" s="9"/>
      <c r="B22" s="123"/>
      <c r="C22" s="57" t="s">
        <v>42</v>
      </c>
      <c r="D22" s="57"/>
      <c r="E22" s="58">
        <v>0</v>
      </c>
      <c r="F22" s="59">
        <v>45947</v>
      </c>
      <c r="G22" s="60">
        <v>8</v>
      </c>
      <c r="H22" s="57"/>
      <c r="I22" s="25" t="str">
        <f t="shared" ca="1" si="10"/>
        <v/>
      </c>
      <c r="J22" s="25" t="str">
        <f t="shared" ca="1" si="10"/>
        <v/>
      </c>
      <c r="K22" s="25" t="str">
        <f t="shared" ca="1" si="10"/>
        <v/>
      </c>
      <c r="L22" s="25" t="str">
        <f t="shared" ca="1" si="10"/>
        <v/>
      </c>
      <c r="M22" s="25" t="str">
        <f t="shared" ca="1" si="10"/>
        <v/>
      </c>
      <c r="N22" s="25" t="str">
        <f t="shared" ca="1" si="10"/>
        <v/>
      </c>
      <c r="O22" s="25" t="str">
        <f t="shared" ca="1" si="10"/>
        <v/>
      </c>
      <c r="P22" s="25" t="str">
        <f t="shared" ca="1" si="10"/>
        <v/>
      </c>
      <c r="Q22" s="25" t="str">
        <f t="shared" ca="1" si="10"/>
        <v/>
      </c>
      <c r="R22" s="25" t="str">
        <f t="shared" ca="1" si="10"/>
        <v/>
      </c>
      <c r="S22" s="25" t="str">
        <f t="shared" ca="1" si="11"/>
        <v/>
      </c>
      <c r="T22" s="25" t="str">
        <f t="shared" ca="1" si="11"/>
        <v/>
      </c>
      <c r="U22" s="25" t="str">
        <f t="shared" ca="1" si="11"/>
        <v/>
      </c>
      <c r="V22" s="25" t="str">
        <f t="shared" ca="1" si="11"/>
        <v/>
      </c>
      <c r="W22" s="25" t="str">
        <f t="shared" ca="1" si="11"/>
        <v/>
      </c>
      <c r="X22" s="25" t="str">
        <f t="shared" ca="1" si="11"/>
        <v/>
      </c>
      <c r="Y22" s="25" t="str">
        <f t="shared" ca="1" si="11"/>
        <v/>
      </c>
      <c r="Z22" s="25" t="str">
        <f t="shared" ca="1" si="11"/>
        <v/>
      </c>
      <c r="AA22" s="25" t="str">
        <f t="shared" ca="1" si="11"/>
        <v/>
      </c>
      <c r="AB22" s="25" t="str">
        <f t="shared" ca="1" si="11"/>
        <v/>
      </c>
      <c r="AC22" s="25" t="str">
        <f t="shared" ca="1" si="12"/>
        <v/>
      </c>
      <c r="AD22" s="25" t="str">
        <f t="shared" ca="1" si="12"/>
        <v/>
      </c>
      <c r="AE22" s="25" t="str">
        <f t="shared" ca="1" si="12"/>
        <v/>
      </c>
      <c r="AF22" s="25" t="str">
        <f t="shared" ca="1" si="12"/>
        <v/>
      </c>
      <c r="AG22" s="25" t="str">
        <f t="shared" ca="1" si="12"/>
        <v/>
      </c>
      <c r="AH22" s="25" t="str">
        <f t="shared" ca="1" si="12"/>
        <v/>
      </c>
      <c r="AI22" s="25" t="str">
        <f t="shared" ca="1" si="12"/>
        <v/>
      </c>
      <c r="AJ22" s="25" t="str">
        <f t="shared" ca="1" si="12"/>
        <v/>
      </c>
      <c r="AK22" s="25" t="str">
        <f t="shared" ca="1" si="12"/>
        <v/>
      </c>
      <c r="AL22" s="25" t="str">
        <f t="shared" ca="1" si="12"/>
        <v/>
      </c>
      <c r="AM22" s="25" t="str">
        <f t="shared" ca="1" si="13"/>
        <v/>
      </c>
      <c r="AN22" s="25" t="str">
        <f t="shared" ca="1" si="13"/>
        <v/>
      </c>
      <c r="AO22" s="25" t="str">
        <f t="shared" ca="1" si="13"/>
        <v/>
      </c>
      <c r="AP22" s="25" t="str">
        <f t="shared" ca="1" si="13"/>
        <v/>
      </c>
      <c r="AQ22" s="25" t="str">
        <f t="shared" ca="1" si="13"/>
        <v/>
      </c>
      <c r="AR22" s="25" t="str">
        <f t="shared" ca="1" si="13"/>
        <v/>
      </c>
      <c r="AS22" s="25" t="str">
        <f t="shared" ca="1" si="13"/>
        <v/>
      </c>
      <c r="AT22" s="25" t="str">
        <f t="shared" ca="1" si="13"/>
        <v/>
      </c>
      <c r="AU22" s="25" t="str">
        <f t="shared" ca="1" si="13"/>
        <v/>
      </c>
      <c r="AV22" s="25" t="str">
        <f t="shared" ca="1" si="13"/>
        <v/>
      </c>
      <c r="AW22" s="25" t="str">
        <f t="shared" ca="1" si="14"/>
        <v/>
      </c>
      <c r="AX22" s="25" t="str">
        <f t="shared" ca="1" si="14"/>
        <v/>
      </c>
      <c r="AY22" s="25" t="str">
        <f t="shared" ca="1" si="14"/>
        <v/>
      </c>
      <c r="AZ22" s="25" t="str">
        <f t="shared" ca="1" si="14"/>
        <v/>
      </c>
      <c r="BA22" s="25" t="str">
        <f t="shared" ca="1" si="14"/>
        <v/>
      </c>
      <c r="BB22" s="25" t="str">
        <f t="shared" ca="1" si="14"/>
        <v/>
      </c>
      <c r="BC22" s="25" t="str">
        <f t="shared" ca="1" si="14"/>
        <v/>
      </c>
      <c r="BD22" s="25" t="str">
        <f t="shared" ca="1" si="14"/>
        <v/>
      </c>
      <c r="BE22" s="25" t="str">
        <f t="shared" ca="1" si="14"/>
        <v/>
      </c>
      <c r="BF22" s="25" t="str">
        <f t="shared" ca="1" si="14"/>
        <v/>
      </c>
      <c r="BG22" s="25" t="str">
        <f t="shared" ca="1" si="15"/>
        <v/>
      </c>
      <c r="BH22" s="25" t="str">
        <f t="shared" ca="1" si="15"/>
        <v/>
      </c>
      <c r="BI22" s="25" t="str">
        <f t="shared" ca="1" si="15"/>
        <v/>
      </c>
      <c r="BJ22" s="25" t="str">
        <f t="shared" ca="1" si="15"/>
        <v/>
      </c>
      <c r="BK22" s="25" t="str">
        <f t="shared" ca="1" si="15"/>
        <v/>
      </c>
      <c r="BL22" s="25" t="str">
        <f t="shared" ca="1" si="15"/>
        <v/>
      </c>
    </row>
    <row r="23" spans="1:64" s="1" customFormat="1" ht="40.15" customHeight="1">
      <c r="A23" s="9"/>
      <c r="B23" s="123" t="s">
        <v>49</v>
      </c>
      <c r="C23" s="57"/>
      <c r="D23" s="57"/>
      <c r="E23" s="58"/>
      <c r="F23" s="59"/>
      <c r="G23" s="60"/>
      <c r="H23" s="57"/>
      <c r="I23" s="25" t="str">
        <f t="shared" ca="1" si="10"/>
        <v/>
      </c>
      <c r="J23" s="25" t="str">
        <f t="shared" ca="1" si="10"/>
        <v/>
      </c>
      <c r="K23" s="25" t="str">
        <f t="shared" ca="1" si="10"/>
        <v/>
      </c>
      <c r="L23" s="25" t="str">
        <f t="shared" ca="1" si="10"/>
        <v/>
      </c>
      <c r="M23" s="25" t="str">
        <f t="shared" ca="1" si="10"/>
        <v/>
      </c>
      <c r="N23" s="25" t="str">
        <f t="shared" ca="1" si="10"/>
        <v/>
      </c>
      <c r="O23" s="25" t="str">
        <f t="shared" ca="1" si="10"/>
        <v/>
      </c>
      <c r="P23" s="25" t="str">
        <f t="shared" ca="1" si="10"/>
        <v/>
      </c>
      <c r="Q23" s="25" t="str">
        <f t="shared" ca="1" si="10"/>
        <v/>
      </c>
      <c r="R23" s="25" t="str">
        <f t="shared" ca="1" si="10"/>
        <v/>
      </c>
      <c r="S23" s="25" t="str">
        <f t="shared" ca="1" si="11"/>
        <v/>
      </c>
      <c r="T23" s="25" t="str">
        <f t="shared" ca="1" si="11"/>
        <v/>
      </c>
      <c r="U23" s="25" t="str">
        <f t="shared" ca="1" si="11"/>
        <v/>
      </c>
      <c r="V23" s="25" t="str">
        <f t="shared" ca="1" si="11"/>
        <v/>
      </c>
      <c r="W23" s="25" t="str">
        <f t="shared" ca="1" si="11"/>
        <v/>
      </c>
      <c r="X23" s="25" t="str">
        <f t="shared" ca="1" si="11"/>
        <v/>
      </c>
      <c r="Y23" s="25" t="str">
        <f t="shared" ca="1" si="11"/>
        <v/>
      </c>
      <c r="Z23" s="25" t="str">
        <f t="shared" ca="1" si="11"/>
        <v/>
      </c>
      <c r="AA23" s="25" t="str">
        <f t="shared" ca="1" si="11"/>
        <v/>
      </c>
      <c r="AB23" s="25" t="str">
        <f t="shared" ca="1" si="11"/>
        <v/>
      </c>
      <c r="AC23" s="25" t="str">
        <f t="shared" ca="1" si="12"/>
        <v/>
      </c>
      <c r="AD23" s="25" t="str">
        <f t="shared" ca="1" si="12"/>
        <v/>
      </c>
      <c r="AE23" s="25" t="str">
        <f t="shared" ca="1" si="12"/>
        <v/>
      </c>
      <c r="AF23" s="25" t="str">
        <f t="shared" ca="1" si="12"/>
        <v/>
      </c>
      <c r="AG23" s="25" t="str">
        <f t="shared" ca="1" si="12"/>
        <v/>
      </c>
      <c r="AH23" s="25" t="str">
        <f t="shared" ca="1" si="12"/>
        <v/>
      </c>
      <c r="AI23" s="25" t="str">
        <f t="shared" ca="1" si="12"/>
        <v/>
      </c>
      <c r="AJ23" s="25" t="str">
        <f t="shared" ca="1" si="12"/>
        <v/>
      </c>
      <c r="AK23" s="25" t="str">
        <f t="shared" ca="1" si="12"/>
        <v/>
      </c>
      <c r="AL23" s="25" t="str">
        <f t="shared" ca="1" si="12"/>
        <v/>
      </c>
      <c r="AM23" s="25" t="str">
        <f t="shared" ca="1" si="13"/>
        <v/>
      </c>
      <c r="AN23" s="25" t="str">
        <f t="shared" ca="1" si="13"/>
        <v/>
      </c>
      <c r="AO23" s="25" t="str">
        <f t="shared" ca="1" si="13"/>
        <v/>
      </c>
      <c r="AP23" s="25" t="str">
        <f t="shared" ca="1" si="13"/>
        <v/>
      </c>
      <c r="AQ23" s="25" t="str">
        <f t="shared" ca="1" si="13"/>
        <v/>
      </c>
      <c r="AR23" s="25" t="str">
        <f t="shared" ca="1" si="13"/>
        <v/>
      </c>
      <c r="AS23" s="25" t="str">
        <f t="shared" ca="1" si="13"/>
        <v/>
      </c>
      <c r="AT23" s="25" t="str">
        <f t="shared" ca="1" si="13"/>
        <v/>
      </c>
      <c r="AU23" s="25" t="str">
        <f t="shared" ca="1" si="13"/>
        <v/>
      </c>
      <c r="AV23" s="25" t="str">
        <f t="shared" ca="1" si="13"/>
        <v/>
      </c>
      <c r="AW23" s="25" t="str">
        <f t="shared" ca="1" si="14"/>
        <v/>
      </c>
      <c r="AX23" s="25" t="str">
        <f t="shared" ca="1" si="14"/>
        <v/>
      </c>
      <c r="AY23" s="25" t="str">
        <f t="shared" ca="1" si="14"/>
        <v/>
      </c>
      <c r="AZ23" s="25" t="str">
        <f t="shared" ca="1" si="14"/>
        <v/>
      </c>
      <c r="BA23" s="25" t="str">
        <f t="shared" ca="1" si="14"/>
        <v/>
      </c>
      <c r="BB23" s="25" t="str">
        <f t="shared" ca="1" si="14"/>
        <v/>
      </c>
      <c r="BC23" s="25" t="str">
        <f t="shared" ca="1" si="14"/>
        <v/>
      </c>
      <c r="BD23" s="25" t="str">
        <f t="shared" ca="1" si="14"/>
        <v/>
      </c>
      <c r="BE23" s="25" t="str">
        <f t="shared" ca="1" si="14"/>
        <v/>
      </c>
      <c r="BF23" s="25" t="str">
        <f t="shared" ca="1" si="14"/>
        <v/>
      </c>
      <c r="BG23" s="25" t="str">
        <f t="shared" ca="1" si="15"/>
        <v/>
      </c>
      <c r="BH23" s="25" t="str">
        <f t="shared" ca="1" si="15"/>
        <v/>
      </c>
      <c r="BI23" s="25" t="str">
        <f t="shared" ca="1" si="15"/>
        <v/>
      </c>
      <c r="BJ23" s="25" t="str">
        <f t="shared" ca="1" si="15"/>
        <v/>
      </c>
      <c r="BK23" s="25" t="str">
        <f t="shared" ca="1" si="15"/>
        <v/>
      </c>
      <c r="BL23" s="25" t="str">
        <f t="shared" ca="1" si="15"/>
        <v/>
      </c>
    </row>
    <row r="24" spans="1:64" s="1" customFormat="1" ht="40.15" customHeight="1">
      <c r="A24" s="9"/>
      <c r="B24" s="123"/>
      <c r="C24" s="57"/>
      <c r="D24" s="57"/>
      <c r="E24" s="58"/>
      <c r="F24" s="59"/>
      <c r="G24" s="60"/>
      <c r="H24" s="57"/>
      <c r="I24" s="25" t="str">
        <f t="shared" ref="I24:R35" ca="1" si="16">IF(AND($C24="Ziel",I$7&gt;=$F24,I$7&lt;=$F24+$G24-1),2,IF(AND($C24="Meilenstein",I$7&gt;=$F24,I$7&lt;=$F24+$G24-1),1,""))</f>
        <v/>
      </c>
      <c r="J24" s="25" t="str">
        <f t="shared" ca="1" si="16"/>
        <v/>
      </c>
      <c r="K24" s="25" t="str">
        <f t="shared" ca="1" si="16"/>
        <v/>
      </c>
      <c r="L24" s="25" t="str">
        <f t="shared" ca="1" si="16"/>
        <v/>
      </c>
      <c r="M24" s="25" t="str">
        <f t="shared" ca="1" si="16"/>
        <v/>
      </c>
      <c r="N24" s="25" t="str">
        <f t="shared" ca="1" si="16"/>
        <v/>
      </c>
      <c r="O24" s="25" t="str">
        <f t="shared" ca="1" si="16"/>
        <v/>
      </c>
      <c r="P24" s="25" t="str">
        <f t="shared" ca="1" si="16"/>
        <v/>
      </c>
      <c r="Q24" s="25" t="str">
        <f t="shared" ca="1" si="16"/>
        <v/>
      </c>
      <c r="R24" s="25" t="str">
        <f t="shared" ca="1" si="16"/>
        <v/>
      </c>
      <c r="S24" s="25" t="str">
        <f t="shared" ref="S24:AB35" ca="1" si="17">IF(AND($C24="Ziel",S$7&gt;=$F24,S$7&lt;=$F24+$G24-1),2,IF(AND($C24="Meilenstein",S$7&gt;=$F24,S$7&lt;=$F24+$G24-1),1,""))</f>
        <v/>
      </c>
      <c r="T24" s="25" t="str">
        <f t="shared" ca="1" si="17"/>
        <v/>
      </c>
      <c r="U24" s="25" t="str">
        <f t="shared" ca="1" si="17"/>
        <v/>
      </c>
      <c r="V24" s="25" t="str">
        <f t="shared" ca="1" si="17"/>
        <v/>
      </c>
      <c r="W24" s="25" t="str">
        <f t="shared" ca="1" si="17"/>
        <v/>
      </c>
      <c r="X24" s="25" t="str">
        <f t="shared" ca="1" si="17"/>
        <v/>
      </c>
      <c r="Y24" s="25" t="str">
        <f t="shared" ca="1" si="17"/>
        <v/>
      </c>
      <c r="Z24" s="25" t="str">
        <f t="shared" ca="1" si="17"/>
        <v/>
      </c>
      <c r="AA24" s="25" t="str">
        <f t="shared" ca="1" si="17"/>
        <v/>
      </c>
      <c r="AB24" s="25" t="str">
        <f t="shared" ca="1" si="17"/>
        <v/>
      </c>
      <c r="AC24" s="25" t="str">
        <f t="shared" ref="AC24:AL35" ca="1" si="18">IF(AND($C24="Ziel",AC$7&gt;=$F24,AC$7&lt;=$F24+$G24-1),2,IF(AND($C24="Meilenstein",AC$7&gt;=$F24,AC$7&lt;=$F24+$G24-1),1,""))</f>
        <v/>
      </c>
      <c r="AD24" s="25" t="str">
        <f t="shared" ca="1" si="18"/>
        <v/>
      </c>
      <c r="AE24" s="25" t="str">
        <f t="shared" ca="1" si="18"/>
        <v/>
      </c>
      <c r="AF24" s="25" t="str">
        <f t="shared" ca="1" si="18"/>
        <v/>
      </c>
      <c r="AG24" s="25" t="str">
        <f t="shared" ca="1" si="18"/>
        <v/>
      </c>
      <c r="AH24" s="25" t="str">
        <f t="shared" ca="1" si="18"/>
        <v/>
      </c>
      <c r="AI24" s="25" t="str">
        <f t="shared" ca="1" si="18"/>
        <v/>
      </c>
      <c r="AJ24" s="25" t="str">
        <f t="shared" ca="1" si="18"/>
        <v/>
      </c>
      <c r="AK24" s="25" t="str">
        <f t="shared" ca="1" si="18"/>
        <v/>
      </c>
      <c r="AL24" s="25" t="str">
        <f t="shared" ca="1" si="18"/>
        <v/>
      </c>
      <c r="AM24" s="25" t="str">
        <f t="shared" ref="AM24:AV35" ca="1" si="19">IF(AND($C24="Ziel",AM$7&gt;=$F24,AM$7&lt;=$F24+$G24-1),2,IF(AND($C24="Meilenstein",AM$7&gt;=$F24,AM$7&lt;=$F24+$G24-1),1,""))</f>
        <v/>
      </c>
      <c r="AN24" s="25" t="str">
        <f t="shared" ca="1" si="19"/>
        <v/>
      </c>
      <c r="AO24" s="25" t="str">
        <f t="shared" ca="1" si="19"/>
        <v/>
      </c>
      <c r="AP24" s="25" t="str">
        <f t="shared" ca="1" si="19"/>
        <v/>
      </c>
      <c r="AQ24" s="25" t="str">
        <f t="shared" ca="1" si="19"/>
        <v/>
      </c>
      <c r="AR24" s="25" t="str">
        <f t="shared" ca="1" si="19"/>
        <v/>
      </c>
      <c r="AS24" s="25" t="str">
        <f t="shared" ca="1" si="19"/>
        <v/>
      </c>
      <c r="AT24" s="25" t="str">
        <f t="shared" ca="1" si="19"/>
        <v/>
      </c>
      <c r="AU24" s="25" t="str">
        <f t="shared" ca="1" si="19"/>
        <v/>
      </c>
      <c r="AV24" s="25" t="str">
        <f t="shared" ca="1" si="19"/>
        <v/>
      </c>
      <c r="AW24" s="25" t="str">
        <f t="shared" ref="AW24:BF35" ca="1" si="20">IF(AND($C24="Ziel",AW$7&gt;=$F24,AW$7&lt;=$F24+$G24-1),2,IF(AND($C24="Meilenstein",AW$7&gt;=$F24,AW$7&lt;=$F24+$G24-1),1,""))</f>
        <v/>
      </c>
      <c r="AX24" s="25" t="str">
        <f t="shared" ca="1" si="20"/>
        <v/>
      </c>
      <c r="AY24" s="25" t="str">
        <f t="shared" ca="1" si="20"/>
        <v/>
      </c>
      <c r="AZ24" s="25" t="str">
        <f t="shared" ca="1" si="20"/>
        <v/>
      </c>
      <c r="BA24" s="25" t="str">
        <f t="shared" ca="1" si="20"/>
        <v/>
      </c>
      <c r="BB24" s="25" t="str">
        <f t="shared" ca="1" si="20"/>
        <v/>
      </c>
      <c r="BC24" s="25" t="str">
        <f t="shared" ca="1" si="20"/>
        <v/>
      </c>
      <c r="BD24" s="25" t="str">
        <f t="shared" ca="1" si="20"/>
        <v/>
      </c>
      <c r="BE24" s="25" t="str">
        <f t="shared" ca="1" si="20"/>
        <v/>
      </c>
      <c r="BF24" s="25" t="str">
        <f t="shared" ca="1" si="20"/>
        <v/>
      </c>
      <c r="BG24" s="25" t="str">
        <f t="shared" ref="BG24:BL35" ca="1" si="21">IF(AND($C24="Ziel",BG$7&gt;=$F24,BG$7&lt;=$F24+$G24-1),2,IF(AND($C24="Meilenstein",BG$7&gt;=$F24,BG$7&lt;=$F24+$G24-1),1,""))</f>
        <v/>
      </c>
      <c r="BH24" s="25" t="str">
        <f t="shared" ca="1" si="21"/>
        <v/>
      </c>
      <c r="BI24" s="25" t="str">
        <f t="shared" ca="1" si="21"/>
        <v/>
      </c>
      <c r="BJ24" s="25" t="str">
        <f t="shared" ca="1" si="21"/>
        <v/>
      </c>
      <c r="BK24" s="25" t="str">
        <f t="shared" ca="1" si="21"/>
        <v/>
      </c>
      <c r="BL24" s="25" t="str">
        <f t="shared" ca="1" si="21"/>
        <v/>
      </c>
    </row>
    <row r="25" spans="1:64" s="1" customFormat="1" ht="40.15" customHeight="1">
      <c r="A25" s="9"/>
      <c r="B25" s="123" t="s">
        <v>50</v>
      </c>
      <c r="C25" s="57"/>
      <c r="D25" s="57"/>
      <c r="E25" s="58"/>
      <c r="F25" s="59"/>
      <c r="G25" s="60"/>
      <c r="H25" s="57"/>
      <c r="I25" s="25" t="str">
        <f t="shared" ca="1" si="16"/>
        <v/>
      </c>
      <c r="J25" s="25" t="str">
        <f t="shared" ca="1" si="16"/>
        <v/>
      </c>
      <c r="K25" s="25" t="str">
        <f t="shared" ca="1" si="16"/>
        <v/>
      </c>
      <c r="L25" s="25" t="str">
        <f t="shared" ca="1" si="16"/>
        <v/>
      </c>
      <c r="M25" s="25" t="str">
        <f t="shared" ca="1" si="16"/>
        <v/>
      </c>
      <c r="N25" s="25" t="str">
        <f t="shared" ca="1" si="16"/>
        <v/>
      </c>
      <c r="O25" s="25" t="str">
        <f t="shared" ca="1" si="16"/>
        <v/>
      </c>
      <c r="P25" s="25" t="str">
        <f t="shared" ca="1" si="16"/>
        <v/>
      </c>
      <c r="Q25" s="25" t="str">
        <f t="shared" ca="1" si="16"/>
        <v/>
      </c>
      <c r="R25" s="25" t="str">
        <f t="shared" ca="1" si="16"/>
        <v/>
      </c>
      <c r="S25" s="25" t="str">
        <f t="shared" ca="1" si="17"/>
        <v/>
      </c>
      <c r="T25" s="25" t="str">
        <f t="shared" ca="1" si="17"/>
        <v/>
      </c>
      <c r="U25" s="25" t="str">
        <f t="shared" ca="1" si="17"/>
        <v/>
      </c>
      <c r="V25" s="25" t="str">
        <f t="shared" ca="1" si="17"/>
        <v/>
      </c>
      <c r="W25" s="25" t="str">
        <f t="shared" ca="1" si="17"/>
        <v/>
      </c>
      <c r="X25" s="25" t="str">
        <f t="shared" ca="1" si="17"/>
        <v/>
      </c>
      <c r="Y25" s="25" t="str">
        <f t="shared" ca="1" si="17"/>
        <v/>
      </c>
      <c r="Z25" s="25" t="str">
        <f t="shared" ca="1" si="17"/>
        <v/>
      </c>
      <c r="AA25" s="25" t="str">
        <f t="shared" ca="1" si="17"/>
        <v/>
      </c>
      <c r="AB25" s="25" t="str">
        <f t="shared" ca="1" si="17"/>
        <v/>
      </c>
      <c r="AC25" s="25" t="str">
        <f t="shared" ca="1" si="18"/>
        <v/>
      </c>
      <c r="AD25" s="25" t="str">
        <f t="shared" ca="1" si="18"/>
        <v/>
      </c>
      <c r="AE25" s="25" t="str">
        <f t="shared" ca="1" si="18"/>
        <v/>
      </c>
      <c r="AF25" s="25" t="str">
        <f t="shared" ca="1" si="18"/>
        <v/>
      </c>
      <c r="AG25" s="25" t="str">
        <f t="shared" ca="1" si="18"/>
        <v/>
      </c>
      <c r="AH25" s="25" t="str">
        <f t="shared" ca="1" si="18"/>
        <v/>
      </c>
      <c r="AI25" s="25" t="str">
        <f t="shared" ca="1" si="18"/>
        <v/>
      </c>
      <c r="AJ25" s="25" t="str">
        <f t="shared" ca="1" si="18"/>
        <v/>
      </c>
      <c r="AK25" s="25" t="str">
        <f t="shared" ca="1" si="18"/>
        <v/>
      </c>
      <c r="AL25" s="25" t="str">
        <f t="shared" ca="1" si="18"/>
        <v/>
      </c>
      <c r="AM25" s="25" t="str">
        <f t="shared" ca="1" si="19"/>
        <v/>
      </c>
      <c r="AN25" s="25" t="str">
        <f t="shared" ca="1" si="19"/>
        <v/>
      </c>
      <c r="AO25" s="25" t="str">
        <f t="shared" ca="1" si="19"/>
        <v/>
      </c>
      <c r="AP25" s="25" t="str">
        <f t="shared" ca="1" si="19"/>
        <v/>
      </c>
      <c r="AQ25" s="25" t="str">
        <f t="shared" ca="1" si="19"/>
        <v/>
      </c>
      <c r="AR25" s="25" t="str">
        <f t="shared" ca="1" si="19"/>
        <v/>
      </c>
      <c r="AS25" s="25" t="str">
        <f t="shared" ca="1" si="19"/>
        <v/>
      </c>
      <c r="AT25" s="25" t="str">
        <f t="shared" ca="1" si="19"/>
        <v/>
      </c>
      <c r="AU25" s="25" t="str">
        <f t="shared" ca="1" si="19"/>
        <v/>
      </c>
      <c r="AV25" s="25" t="str">
        <f t="shared" ca="1" si="19"/>
        <v/>
      </c>
      <c r="AW25" s="25" t="str">
        <f t="shared" ca="1" si="20"/>
        <v/>
      </c>
      <c r="AX25" s="25" t="str">
        <f t="shared" ca="1" si="20"/>
        <v/>
      </c>
      <c r="AY25" s="25" t="str">
        <f t="shared" ca="1" si="20"/>
        <v/>
      </c>
      <c r="AZ25" s="25" t="str">
        <f t="shared" ca="1" si="20"/>
        <v/>
      </c>
      <c r="BA25" s="25" t="str">
        <f t="shared" ca="1" si="20"/>
        <v/>
      </c>
      <c r="BB25" s="25" t="str">
        <f t="shared" ca="1" si="20"/>
        <v/>
      </c>
      <c r="BC25" s="25" t="str">
        <f t="shared" ca="1" si="20"/>
        <v/>
      </c>
      <c r="BD25" s="25" t="str">
        <f t="shared" ca="1" si="20"/>
        <v/>
      </c>
      <c r="BE25" s="25" t="str">
        <f t="shared" ca="1" si="20"/>
        <v/>
      </c>
      <c r="BF25" s="25" t="str">
        <f t="shared" ca="1" si="20"/>
        <v/>
      </c>
      <c r="BG25" s="25" t="str">
        <f t="shared" ca="1" si="21"/>
        <v/>
      </c>
      <c r="BH25" s="25" t="str">
        <f t="shared" ca="1" si="21"/>
        <v/>
      </c>
      <c r="BI25" s="25" t="str">
        <f t="shared" ca="1" si="21"/>
        <v/>
      </c>
      <c r="BJ25" s="25" t="str">
        <f t="shared" ca="1" si="21"/>
        <v/>
      </c>
      <c r="BK25" s="25" t="str">
        <f t="shared" ca="1" si="21"/>
        <v/>
      </c>
      <c r="BL25" s="25" t="str">
        <f t="shared" ca="1" si="21"/>
        <v/>
      </c>
    </row>
    <row r="26" spans="1:64" s="1" customFormat="1" ht="40.15" customHeight="1">
      <c r="A26" s="9"/>
      <c r="B26" s="123"/>
      <c r="C26" s="57"/>
      <c r="D26" s="57"/>
      <c r="E26" s="58"/>
      <c r="F26" s="59"/>
      <c r="G26" s="60"/>
      <c r="H26" s="57"/>
      <c r="I26" s="25" t="str">
        <f t="shared" ca="1" si="16"/>
        <v/>
      </c>
      <c r="J26" s="25" t="str">
        <f t="shared" ca="1" si="16"/>
        <v/>
      </c>
      <c r="K26" s="25" t="str">
        <f t="shared" ca="1" si="16"/>
        <v/>
      </c>
      <c r="L26" s="25" t="str">
        <f t="shared" ca="1" si="16"/>
        <v/>
      </c>
      <c r="M26" s="25" t="str">
        <f t="shared" ca="1" si="16"/>
        <v/>
      </c>
      <c r="N26" s="25" t="str">
        <f t="shared" ca="1" si="16"/>
        <v/>
      </c>
      <c r="O26" s="25" t="str">
        <f t="shared" ca="1" si="16"/>
        <v/>
      </c>
      <c r="P26" s="25" t="str">
        <f t="shared" ca="1" si="16"/>
        <v/>
      </c>
      <c r="Q26" s="25" t="str">
        <f t="shared" ca="1" si="16"/>
        <v/>
      </c>
      <c r="R26" s="25" t="str">
        <f t="shared" ca="1" si="16"/>
        <v/>
      </c>
      <c r="S26" s="25" t="str">
        <f t="shared" ca="1" si="17"/>
        <v/>
      </c>
      <c r="T26" s="25" t="str">
        <f t="shared" ca="1" si="17"/>
        <v/>
      </c>
      <c r="U26" s="25" t="str">
        <f t="shared" ca="1" si="17"/>
        <v/>
      </c>
      <c r="V26" s="25" t="str">
        <f t="shared" ca="1" si="17"/>
        <v/>
      </c>
      <c r="W26" s="25" t="str">
        <f t="shared" ca="1" si="17"/>
        <v/>
      </c>
      <c r="X26" s="25" t="str">
        <f t="shared" ca="1" si="17"/>
        <v/>
      </c>
      <c r="Y26" s="25" t="str">
        <f t="shared" ca="1" si="17"/>
        <v/>
      </c>
      <c r="Z26" s="25" t="str">
        <f t="shared" ca="1" si="17"/>
        <v/>
      </c>
      <c r="AA26" s="25" t="str">
        <f t="shared" ca="1" si="17"/>
        <v/>
      </c>
      <c r="AB26" s="25" t="str">
        <f t="shared" ca="1" si="17"/>
        <v/>
      </c>
      <c r="AC26" s="25" t="str">
        <f t="shared" ca="1" si="18"/>
        <v/>
      </c>
      <c r="AD26" s="25" t="str">
        <f t="shared" ca="1" si="18"/>
        <v/>
      </c>
      <c r="AE26" s="25" t="str">
        <f t="shared" ca="1" si="18"/>
        <v/>
      </c>
      <c r="AF26" s="25" t="str">
        <f t="shared" ca="1" si="18"/>
        <v/>
      </c>
      <c r="AG26" s="25" t="str">
        <f t="shared" ca="1" si="18"/>
        <v/>
      </c>
      <c r="AH26" s="25" t="str">
        <f t="shared" ca="1" si="18"/>
        <v/>
      </c>
      <c r="AI26" s="25" t="str">
        <f t="shared" ca="1" si="18"/>
        <v/>
      </c>
      <c r="AJ26" s="25" t="str">
        <f t="shared" ca="1" si="18"/>
        <v/>
      </c>
      <c r="AK26" s="25" t="str">
        <f t="shared" ca="1" si="18"/>
        <v/>
      </c>
      <c r="AL26" s="25" t="str">
        <f t="shared" ca="1" si="18"/>
        <v/>
      </c>
      <c r="AM26" s="25" t="str">
        <f t="shared" ca="1" si="19"/>
        <v/>
      </c>
      <c r="AN26" s="25" t="str">
        <f t="shared" ca="1" si="19"/>
        <v/>
      </c>
      <c r="AO26" s="25" t="str">
        <f t="shared" ca="1" si="19"/>
        <v/>
      </c>
      <c r="AP26" s="25" t="str">
        <f t="shared" ca="1" si="19"/>
        <v/>
      </c>
      <c r="AQ26" s="25" t="str">
        <f t="shared" ca="1" si="19"/>
        <v/>
      </c>
      <c r="AR26" s="25" t="str">
        <f t="shared" ca="1" si="19"/>
        <v/>
      </c>
      <c r="AS26" s="25" t="str">
        <f t="shared" ca="1" si="19"/>
        <v/>
      </c>
      <c r="AT26" s="25" t="str">
        <f t="shared" ca="1" si="19"/>
        <v/>
      </c>
      <c r="AU26" s="25" t="str">
        <f t="shared" ca="1" si="19"/>
        <v/>
      </c>
      <c r="AV26" s="25" t="str">
        <f t="shared" ca="1" si="19"/>
        <v/>
      </c>
      <c r="AW26" s="25" t="str">
        <f t="shared" ca="1" si="20"/>
        <v/>
      </c>
      <c r="AX26" s="25" t="str">
        <f t="shared" ca="1" si="20"/>
        <v/>
      </c>
      <c r="AY26" s="25" t="str">
        <f t="shared" ca="1" si="20"/>
        <v/>
      </c>
      <c r="AZ26" s="25" t="str">
        <f t="shared" ca="1" si="20"/>
        <v/>
      </c>
      <c r="BA26" s="25" t="str">
        <f t="shared" ca="1" si="20"/>
        <v/>
      </c>
      <c r="BB26" s="25" t="str">
        <f t="shared" ca="1" si="20"/>
        <v/>
      </c>
      <c r="BC26" s="25" t="str">
        <f t="shared" ca="1" si="20"/>
        <v/>
      </c>
      <c r="BD26" s="25" t="str">
        <f t="shared" ca="1" si="20"/>
        <v/>
      </c>
      <c r="BE26" s="25" t="str">
        <f t="shared" ca="1" si="20"/>
        <v/>
      </c>
      <c r="BF26" s="25" t="str">
        <f t="shared" ca="1" si="20"/>
        <v/>
      </c>
      <c r="BG26" s="25" t="str">
        <f t="shared" ca="1" si="21"/>
        <v/>
      </c>
      <c r="BH26" s="25" t="str">
        <f t="shared" ca="1" si="21"/>
        <v/>
      </c>
      <c r="BI26" s="25" t="str">
        <f t="shared" ca="1" si="21"/>
        <v/>
      </c>
      <c r="BJ26" s="25" t="str">
        <f t="shared" ca="1" si="21"/>
        <v/>
      </c>
      <c r="BK26" s="25" t="str">
        <f t="shared" ca="1" si="21"/>
        <v/>
      </c>
      <c r="BL26" s="25" t="str">
        <f t="shared" ca="1" si="21"/>
        <v/>
      </c>
    </row>
    <row r="27" spans="1:64" s="1" customFormat="1" ht="40.15" customHeight="1">
      <c r="A27" s="9"/>
      <c r="B27" s="123" t="s">
        <v>51</v>
      </c>
      <c r="C27" s="57"/>
      <c r="D27" s="57"/>
      <c r="E27" s="58"/>
      <c r="F27" s="59"/>
      <c r="G27" s="60"/>
      <c r="H27" s="57"/>
      <c r="I27" s="25" t="str">
        <f t="shared" ca="1" si="16"/>
        <v/>
      </c>
      <c r="J27" s="25" t="str">
        <f t="shared" ca="1" si="16"/>
        <v/>
      </c>
      <c r="K27" s="25" t="str">
        <f t="shared" ca="1" si="16"/>
        <v/>
      </c>
      <c r="L27" s="25" t="str">
        <f t="shared" ca="1" si="16"/>
        <v/>
      </c>
      <c r="M27" s="25" t="str">
        <f t="shared" ca="1" si="16"/>
        <v/>
      </c>
      <c r="N27" s="25" t="str">
        <f t="shared" ca="1" si="16"/>
        <v/>
      </c>
      <c r="O27" s="25" t="str">
        <f t="shared" ca="1" si="16"/>
        <v/>
      </c>
      <c r="P27" s="25" t="str">
        <f t="shared" ca="1" si="16"/>
        <v/>
      </c>
      <c r="Q27" s="25" t="str">
        <f t="shared" ca="1" si="16"/>
        <v/>
      </c>
      <c r="R27" s="25" t="str">
        <f t="shared" ca="1" si="16"/>
        <v/>
      </c>
      <c r="S27" s="25" t="str">
        <f t="shared" ca="1" si="17"/>
        <v/>
      </c>
      <c r="T27" s="25" t="str">
        <f t="shared" ca="1" si="17"/>
        <v/>
      </c>
      <c r="U27" s="25" t="str">
        <f t="shared" ca="1" si="17"/>
        <v/>
      </c>
      <c r="V27" s="25" t="str">
        <f t="shared" ca="1" si="17"/>
        <v/>
      </c>
      <c r="W27" s="25" t="str">
        <f t="shared" ca="1" si="17"/>
        <v/>
      </c>
      <c r="X27" s="25" t="str">
        <f t="shared" ca="1" si="17"/>
        <v/>
      </c>
      <c r="Y27" s="25" t="str">
        <f t="shared" ca="1" si="17"/>
        <v/>
      </c>
      <c r="Z27" s="25" t="str">
        <f t="shared" ca="1" si="17"/>
        <v/>
      </c>
      <c r="AA27" s="25" t="str">
        <f t="shared" ca="1" si="17"/>
        <v/>
      </c>
      <c r="AB27" s="25" t="str">
        <f t="shared" ca="1" si="17"/>
        <v/>
      </c>
      <c r="AC27" s="25" t="str">
        <f t="shared" ca="1" si="18"/>
        <v/>
      </c>
      <c r="AD27" s="25" t="str">
        <f t="shared" ca="1" si="18"/>
        <v/>
      </c>
      <c r="AE27" s="25" t="str">
        <f t="shared" ca="1" si="18"/>
        <v/>
      </c>
      <c r="AF27" s="25" t="str">
        <f t="shared" ca="1" si="18"/>
        <v/>
      </c>
      <c r="AG27" s="25" t="str">
        <f t="shared" ca="1" si="18"/>
        <v/>
      </c>
      <c r="AH27" s="25" t="str">
        <f t="shared" ca="1" si="18"/>
        <v/>
      </c>
      <c r="AI27" s="25" t="str">
        <f t="shared" ca="1" si="18"/>
        <v/>
      </c>
      <c r="AJ27" s="25" t="str">
        <f t="shared" ca="1" si="18"/>
        <v/>
      </c>
      <c r="AK27" s="25" t="str">
        <f t="shared" ca="1" si="18"/>
        <v/>
      </c>
      <c r="AL27" s="25" t="str">
        <f t="shared" ca="1" si="18"/>
        <v/>
      </c>
      <c r="AM27" s="25" t="str">
        <f t="shared" ca="1" si="19"/>
        <v/>
      </c>
      <c r="AN27" s="25" t="str">
        <f t="shared" ca="1" si="19"/>
        <v/>
      </c>
      <c r="AO27" s="25" t="str">
        <f t="shared" ca="1" si="19"/>
        <v/>
      </c>
      <c r="AP27" s="25" t="str">
        <f t="shared" ca="1" si="19"/>
        <v/>
      </c>
      <c r="AQ27" s="25" t="str">
        <f t="shared" ca="1" si="19"/>
        <v/>
      </c>
      <c r="AR27" s="25" t="str">
        <f t="shared" ca="1" si="19"/>
        <v/>
      </c>
      <c r="AS27" s="25" t="str">
        <f t="shared" ca="1" si="19"/>
        <v/>
      </c>
      <c r="AT27" s="25" t="str">
        <f t="shared" ca="1" si="19"/>
        <v/>
      </c>
      <c r="AU27" s="25" t="str">
        <f t="shared" ca="1" si="19"/>
        <v/>
      </c>
      <c r="AV27" s="25" t="str">
        <f t="shared" ca="1" si="19"/>
        <v/>
      </c>
      <c r="AW27" s="25" t="str">
        <f t="shared" ca="1" si="20"/>
        <v/>
      </c>
      <c r="AX27" s="25" t="str">
        <f t="shared" ca="1" si="20"/>
        <v/>
      </c>
      <c r="AY27" s="25" t="str">
        <f t="shared" ca="1" si="20"/>
        <v/>
      </c>
      <c r="AZ27" s="25" t="str">
        <f t="shared" ca="1" si="20"/>
        <v/>
      </c>
      <c r="BA27" s="25" t="str">
        <f t="shared" ca="1" si="20"/>
        <v/>
      </c>
      <c r="BB27" s="25" t="str">
        <f t="shared" ca="1" si="20"/>
        <v/>
      </c>
      <c r="BC27" s="25" t="str">
        <f t="shared" ca="1" si="20"/>
        <v/>
      </c>
      <c r="BD27" s="25" t="str">
        <f t="shared" ca="1" si="20"/>
        <v/>
      </c>
      <c r="BE27" s="25" t="str">
        <f t="shared" ca="1" si="20"/>
        <v/>
      </c>
      <c r="BF27" s="25" t="str">
        <f t="shared" ca="1" si="20"/>
        <v/>
      </c>
      <c r="BG27" s="25" t="str">
        <f t="shared" ca="1" si="21"/>
        <v/>
      </c>
      <c r="BH27" s="25" t="str">
        <f t="shared" ca="1" si="21"/>
        <v/>
      </c>
      <c r="BI27" s="25" t="str">
        <f t="shared" ca="1" si="21"/>
        <v/>
      </c>
      <c r="BJ27" s="25" t="str">
        <f t="shared" ca="1" si="21"/>
        <v/>
      </c>
      <c r="BK27" s="25" t="str">
        <f t="shared" ca="1" si="21"/>
        <v/>
      </c>
      <c r="BL27" s="25" t="str">
        <f t="shared" ca="1" si="21"/>
        <v/>
      </c>
    </row>
    <row r="28" spans="1:64" s="1" customFormat="1" ht="40.15" customHeight="1">
      <c r="A28" s="9"/>
      <c r="B28" s="61"/>
      <c r="C28" s="57"/>
      <c r="D28" s="57"/>
      <c r="E28" s="58"/>
      <c r="F28" s="59"/>
      <c r="G28" s="60"/>
      <c r="H28" s="57"/>
      <c r="I28" s="25" t="str">
        <f t="shared" ca="1" si="16"/>
        <v/>
      </c>
      <c r="J28" s="25" t="str">
        <f t="shared" ca="1" si="16"/>
        <v/>
      </c>
      <c r="K28" s="25" t="str">
        <f t="shared" ca="1" si="16"/>
        <v/>
      </c>
      <c r="L28" s="25" t="str">
        <f t="shared" ca="1" si="16"/>
        <v/>
      </c>
      <c r="M28" s="25" t="str">
        <f t="shared" ca="1" si="16"/>
        <v/>
      </c>
      <c r="N28" s="25" t="str">
        <f t="shared" ca="1" si="16"/>
        <v/>
      </c>
      <c r="O28" s="25" t="str">
        <f t="shared" ca="1" si="16"/>
        <v/>
      </c>
      <c r="P28" s="25" t="str">
        <f t="shared" ca="1" si="16"/>
        <v/>
      </c>
      <c r="Q28" s="25" t="str">
        <f t="shared" ca="1" si="16"/>
        <v/>
      </c>
      <c r="R28" s="25" t="str">
        <f t="shared" ca="1" si="16"/>
        <v/>
      </c>
      <c r="S28" s="25" t="str">
        <f t="shared" ca="1" si="17"/>
        <v/>
      </c>
      <c r="T28" s="25" t="str">
        <f t="shared" ca="1" si="17"/>
        <v/>
      </c>
      <c r="U28" s="25" t="str">
        <f t="shared" ca="1" si="17"/>
        <v/>
      </c>
      <c r="V28" s="25" t="str">
        <f t="shared" ca="1" si="17"/>
        <v/>
      </c>
      <c r="W28" s="25" t="str">
        <f t="shared" ca="1" si="17"/>
        <v/>
      </c>
      <c r="X28" s="25" t="str">
        <f t="shared" ca="1" si="17"/>
        <v/>
      </c>
      <c r="Y28" s="25" t="str">
        <f t="shared" ca="1" si="17"/>
        <v/>
      </c>
      <c r="Z28" s="25" t="str">
        <f t="shared" ca="1" si="17"/>
        <v/>
      </c>
      <c r="AA28" s="25" t="str">
        <f t="shared" ca="1" si="17"/>
        <v/>
      </c>
      <c r="AB28" s="25" t="str">
        <f t="shared" ca="1" si="17"/>
        <v/>
      </c>
      <c r="AC28" s="25" t="str">
        <f t="shared" ca="1" si="18"/>
        <v/>
      </c>
      <c r="AD28" s="25" t="str">
        <f t="shared" ca="1" si="18"/>
        <v/>
      </c>
      <c r="AE28" s="25" t="str">
        <f t="shared" ca="1" si="18"/>
        <v/>
      </c>
      <c r="AF28" s="25" t="str">
        <f t="shared" ca="1" si="18"/>
        <v/>
      </c>
      <c r="AG28" s="25" t="str">
        <f t="shared" ca="1" si="18"/>
        <v/>
      </c>
      <c r="AH28" s="25" t="str">
        <f t="shared" ca="1" si="18"/>
        <v/>
      </c>
      <c r="AI28" s="25" t="str">
        <f t="shared" ca="1" si="18"/>
        <v/>
      </c>
      <c r="AJ28" s="25" t="str">
        <f t="shared" ca="1" si="18"/>
        <v/>
      </c>
      <c r="AK28" s="25" t="str">
        <f t="shared" ca="1" si="18"/>
        <v/>
      </c>
      <c r="AL28" s="25" t="str">
        <f t="shared" ca="1" si="18"/>
        <v/>
      </c>
      <c r="AM28" s="25" t="str">
        <f t="shared" ca="1" si="19"/>
        <v/>
      </c>
      <c r="AN28" s="25" t="str">
        <f t="shared" ca="1" si="19"/>
        <v/>
      </c>
      <c r="AO28" s="25" t="str">
        <f t="shared" ca="1" si="19"/>
        <v/>
      </c>
      <c r="AP28" s="25" t="str">
        <f t="shared" ca="1" si="19"/>
        <v/>
      </c>
      <c r="AQ28" s="25" t="str">
        <f t="shared" ca="1" si="19"/>
        <v/>
      </c>
      <c r="AR28" s="25" t="str">
        <f t="shared" ca="1" si="19"/>
        <v/>
      </c>
      <c r="AS28" s="25" t="str">
        <f t="shared" ca="1" si="19"/>
        <v/>
      </c>
      <c r="AT28" s="25" t="str">
        <f t="shared" ca="1" si="19"/>
        <v/>
      </c>
      <c r="AU28" s="25" t="str">
        <f t="shared" ca="1" si="19"/>
        <v/>
      </c>
      <c r="AV28" s="25" t="str">
        <f t="shared" ca="1" si="19"/>
        <v/>
      </c>
      <c r="AW28" s="25" t="str">
        <f t="shared" ca="1" si="20"/>
        <v/>
      </c>
      <c r="AX28" s="25" t="str">
        <f t="shared" ca="1" si="20"/>
        <v/>
      </c>
      <c r="AY28" s="25" t="str">
        <f t="shared" ca="1" si="20"/>
        <v/>
      </c>
      <c r="AZ28" s="25" t="str">
        <f t="shared" ca="1" si="20"/>
        <v/>
      </c>
      <c r="BA28" s="25" t="str">
        <f t="shared" ca="1" si="20"/>
        <v/>
      </c>
      <c r="BB28" s="25" t="str">
        <f t="shared" ca="1" si="20"/>
        <v/>
      </c>
      <c r="BC28" s="25" t="str">
        <f t="shared" ca="1" si="20"/>
        <v/>
      </c>
      <c r="BD28" s="25" t="str">
        <f t="shared" ca="1" si="20"/>
        <v/>
      </c>
      <c r="BE28" s="25" t="str">
        <f t="shared" ca="1" si="20"/>
        <v/>
      </c>
      <c r="BF28" s="25" t="str">
        <f t="shared" ca="1" si="20"/>
        <v/>
      </c>
      <c r="BG28" s="25" t="str">
        <f t="shared" ca="1" si="21"/>
        <v/>
      </c>
      <c r="BH28" s="25" t="str">
        <f t="shared" ca="1" si="21"/>
        <v/>
      </c>
      <c r="BI28" s="25" t="str">
        <f t="shared" ca="1" si="21"/>
        <v/>
      </c>
      <c r="BJ28" s="25" t="str">
        <f t="shared" ca="1" si="21"/>
        <v/>
      </c>
      <c r="BK28" s="25" t="str">
        <f t="shared" ca="1" si="21"/>
        <v/>
      </c>
      <c r="BL28" s="25" t="str">
        <f t="shared" ca="1" si="21"/>
        <v/>
      </c>
    </row>
    <row r="29" spans="1:64" s="1" customFormat="1" ht="40.15" customHeight="1">
      <c r="A29" s="9"/>
      <c r="B29" s="113"/>
      <c r="C29" s="57"/>
      <c r="D29" s="57"/>
      <c r="E29" s="58"/>
      <c r="F29" s="59"/>
      <c r="G29" s="60"/>
      <c r="H29" s="57"/>
      <c r="I29" s="25" t="str">
        <f t="shared" ca="1" si="16"/>
        <v/>
      </c>
      <c r="J29" s="25" t="str">
        <f t="shared" ca="1" si="16"/>
        <v/>
      </c>
      <c r="K29" s="25" t="str">
        <f t="shared" ca="1" si="16"/>
        <v/>
      </c>
      <c r="L29" s="25" t="str">
        <f t="shared" ca="1" si="16"/>
        <v/>
      </c>
      <c r="M29" s="25" t="str">
        <f t="shared" ca="1" si="16"/>
        <v/>
      </c>
      <c r="N29" s="25" t="str">
        <f t="shared" ca="1" si="16"/>
        <v/>
      </c>
      <c r="O29" s="25" t="str">
        <f t="shared" ca="1" si="16"/>
        <v/>
      </c>
      <c r="P29" s="25" t="str">
        <f t="shared" ca="1" si="16"/>
        <v/>
      </c>
      <c r="Q29" s="25" t="str">
        <f t="shared" ca="1" si="16"/>
        <v/>
      </c>
      <c r="R29" s="25" t="str">
        <f t="shared" ca="1" si="16"/>
        <v/>
      </c>
      <c r="S29" s="25" t="str">
        <f t="shared" ca="1" si="17"/>
        <v/>
      </c>
      <c r="T29" s="25" t="str">
        <f t="shared" ca="1" si="17"/>
        <v/>
      </c>
      <c r="U29" s="25" t="str">
        <f t="shared" ca="1" si="17"/>
        <v/>
      </c>
      <c r="V29" s="25" t="str">
        <f t="shared" ca="1" si="17"/>
        <v/>
      </c>
      <c r="W29" s="25" t="str">
        <f t="shared" ca="1" si="17"/>
        <v/>
      </c>
      <c r="X29" s="25" t="str">
        <f t="shared" ca="1" si="17"/>
        <v/>
      </c>
      <c r="Y29" s="25" t="str">
        <f t="shared" ca="1" si="17"/>
        <v/>
      </c>
      <c r="Z29" s="25" t="str">
        <f t="shared" ca="1" si="17"/>
        <v/>
      </c>
      <c r="AA29" s="25" t="str">
        <f t="shared" ca="1" si="17"/>
        <v/>
      </c>
      <c r="AB29" s="25" t="str">
        <f t="shared" ca="1" si="17"/>
        <v/>
      </c>
      <c r="AC29" s="25" t="str">
        <f t="shared" ca="1" si="18"/>
        <v/>
      </c>
      <c r="AD29" s="25" t="str">
        <f t="shared" ca="1" si="18"/>
        <v/>
      </c>
      <c r="AE29" s="25" t="str">
        <f t="shared" ca="1" si="18"/>
        <v/>
      </c>
      <c r="AF29" s="25" t="str">
        <f t="shared" ca="1" si="18"/>
        <v/>
      </c>
      <c r="AG29" s="25" t="str">
        <f t="shared" ca="1" si="18"/>
        <v/>
      </c>
      <c r="AH29" s="25" t="str">
        <f t="shared" ca="1" si="18"/>
        <v/>
      </c>
      <c r="AI29" s="25" t="str">
        <f t="shared" ca="1" si="18"/>
        <v/>
      </c>
      <c r="AJ29" s="25" t="str">
        <f t="shared" ca="1" si="18"/>
        <v/>
      </c>
      <c r="AK29" s="25" t="str">
        <f t="shared" ca="1" si="18"/>
        <v/>
      </c>
      <c r="AL29" s="25" t="str">
        <f t="shared" ca="1" si="18"/>
        <v/>
      </c>
      <c r="AM29" s="25" t="str">
        <f t="shared" ca="1" si="19"/>
        <v/>
      </c>
      <c r="AN29" s="25" t="str">
        <f t="shared" ca="1" si="19"/>
        <v/>
      </c>
      <c r="AO29" s="25" t="str">
        <f t="shared" ca="1" si="19"/>
        <v/>
      </c>
      <c r="AP29" s="25" t="str">
        <f t="shared" ca="1" si="19"/>
        <v/>
      </c>
      <c r="AQ29" s="25" t="str">
        <f t="shared" ca="1" si="19"/>
        <v/>
      </c>
      <c r="AR29" s="25" t="str">
        <f t="shared" ca="1" si="19"/>
        <v/>
      </c>
      <c r="AS29" s="25" t="str">
        <f t="shared" ca="1" si="19"/>
        <v/>
      </c>
      <c r="AT29" s="25" t="str">
        <f t="shared" ca="1" si="19"/>
        <v/>
      </c>
      <c r="AU29" s="25" t="str">
        <f t="shared" ca="1" si="19"/>
        <v/>
      </c>
      <c r="AV29" s="25" t="str">
        <f t="shared" ca="1" si="19"/>
        <v/>
      </c>
      <c r="AW29" s="25" t="str">
        <f t="shared" ca="1" si="20"/>
        <v/>
      </c>
      <c r="AX29" s="25" t="str">
        <f t="shared" ca="1" si="20"/>
        <v/>
      </c>
      <c r="AY29" s="25" t="str">
        <f t="shared" ca="1" si="20"/>
        <v/>
      </c>
      <c r="AZ29" s="25" t="str">
        <f t="shared" ca="1" si="20"/>
        <v/>
      </c>
      <c r="BA29" s="25" t="str">
        <f t="shared" ca="1" si="20"/>
        <v/>
      </c>
      <c r="BB29" s="25" t="str">
        <f t="shared" ca="1" si="20"/>
        <v/>
      </c>
      <c r="BC29" s="25" t="str">
        <f t="shared" ca="1" si="20"/>
        <v/>
      </c>
      <c r="BD29" s="25" t="str">
        <f t="shared" ca="1" si="20"/>
        <v/>
      </c>
      <c r="BE29" s="25" t="str">
        <f t="shared" ca="1" si="20"/>
        <v/>
      </c>
      <c r="BF29" s="25" t="str">
        <f t="shared" ca="1" si="20"/>
        <v/>
      </c>
      <c r="BG29" s="25" t="str">
        <f t="shared" ca="1" si="21"/>
        <v/>
      </c>
      <c r="BH29" s="25" t="str">
        <f t="shared" ca="1" si="21"/>
        <v/>
      </c>
      <c r="BI29" s="25" t="str">
        <f t="shared" ca="1" si="21"/>
        <v/>
      </c>
      <c r="BJ29" s="25" t="str">
        <f t="shared" ca="1" si="21"/>
        <v/>
      </c>
      <c r="BK29" s="25" t="str">
        <f t="shared" ca="1" si="21"/>
        <v/>
      </c>
      <c r="BL29" s="25" t="str">
        <f t="shared" ca="1" si="21"/>
        <v/>
      </c>
    </row>
    <row r="30" spans="1:64" s="1" customFormat="1" ht="40.15" customHeight="1">
      <c r="A30" s="9"/>
      <c r="B30" s="61"/>
      <c r="C30" s="57"/>
      <c r="D30" s="57"/>
      <c r="E30" s="58"/>
      <c r="F30" s="59"/>
      <c r="G30" s="60"/>
      <c r="H30" s="57"/>
      <c r="I30" s="25" t="str">
        <f t="shared" ca="1" si="16"/>
        <v/>
      </c>
      <c r="J30" s="25" t="str">
        <f t="shared" ca="1" si="16"/>
        <v/>
      </c>
      <c r="K30" s="25" t="str">
        <f t="shared" ca="1" si="16"/>
        <v/>
      </c>
      <c r="L30" s="25" t="str">
        <f t="shared" ca="1" si="16"/>
        <v/>
      </c>
      <c r="M30" s="25" t="str">
        <f t="shared" ca="1" si="16"/>
        <v/>
      </c>
      <c r="N30" s="25" t="str">
        <f t="shared" ca="1" si="16"/>
        <v/>
      </c>
      <c r="O30" s="25" t="str">
        <f t="shared" ca="1" si="16"/>
        <v/>
      </c>
      <c r="P30" s="25" t="str">
        <f t="shared" ca="1" si="16"/>
        <v/>
      </c>
      <c r="Q30" s="25" t="str">
        <f t="shared" ca="1" si="16"/>
        <v/>
      </c>
      <c r="R30" s="25" t="str">
        <f t="shared" ca="1" si="16"/>
        <v/>
      </c>
      <c r="S30" s="25" t="str">
        <f t="shared" ca="1" si="17"/>
        <v/>
      </c>
      <c r="T30" s="25" t="str">
        <f t="shared" ca="1" si="17"/>
        <v/>
      </c>
      <c r="U30" s="25" t="str">
        <f t="shared" ca="1" si="17"/>
        <v/>
      </c>
      <c r="V30" s="25" t="str">
        <f t="shared" ca="1" si="17"/>
        <v/>
      </c>
      <c r="W30" s="25" t="str">
        <f t="shared" ca="1" si="17"/>
        <v/>
      </c>
      <c r="X30" s="25" t="str">
        <f t="shared" ca="1" si="17"/>
        <v/>
      </c>
      <c r="Y30" s="25" t="str">
        <f t="shared" ca="1" si="17"/>
        <v/>
      </c>
      <c r="Z30" s="25" t="str">
        <f t="shared" ca="1" si="17"/>
        <v/>
      </c>
      <c r="AA30" s="25" t="str">
        <f t="shared" ca="1" si="17"/>
        <v/>
      </c>
      <c r="AB30" s="25" t="str">
        <f t="shared" ca="1" si="17"/>
        <v/>
      </c>
      <c r="AC30" s="25" t="str">
        <f t="shared" ca="1" si="18"/>
        <v/>
      </c>
      <c r="AD30" s="25" t="str">
        <f t="shared" ca="1" si="18"/>
        <v/>
      </c>
      <c r="AE30" s="25" t="str">
        <f t="shared" ca="1" si="18"/>
        <v/>
      </c>
      <c r="AF30" s="25" t="str">
        <f t="shared" ca="1" si="18"/>
        <v/>
      </c>
      <c r="AG30" s="25" t="str">
        <f t="shared" ca="1" si="18"/>
        <v/>
      </c>
      <c r="AH30" s="25" t="str">
        <f t="shared" ca="1" si="18"/>
        <v/>
      </c>
      <c r="AI30" s="25" t="str">
        <f t="shared" ca="1" si="18"/>
        <v/>
      </c>
      <c r="AJ30" s="25" t="str">
        <f t="shared" ca="1" si="18"/>
        <v/>
      </c>
      <c r="AK30" s="25" t="str">
        <f t="shared" ca="1" si="18"/>
        <v/>
      </c>
      <c r="AL30" s="25" t="str">
        <f t="shared" ca="1" si="18"/>
        <v/>
      </c>
      <c r="AM30" s="25" t="str">
        <f t="shared" ca="1" si="19"/>
        <v/>
      </c>
      <c r="AN30" s="25" t="str">
        <f t="shared" ca="1" si="19"/>
        <v/>
      </c>
      <c r="AO30" s="25" t="str">
        <f t="shared" ca="1" si="19"/>
        <v/>
      </c>
      <c r="AP30" s="25" t="str">
        <f t="shared" ca="1" si="19"/>
        <v/>
      </c>
      <c r="AQ30" s="25" t="str">
        <f t="shared" ca="1" si="19"/>
        <v/>
      </c>
      <c r="AR30" s="25" t="str">
        <f t="shared" ca="1" si="19"/>
        <v/>
      </c>
      <c r="AS30" s="25" t="str">
        <f t="shared" ca="1" si="19"/>
        <v/>
      </c>
      <c r="AT30" s="25" t="str">
        <f t="shared" ca="1" si="19"/>
        <v/>
      </c>
      <c r="AU30" s="25" t="str">
        <f t="shared" ca="1" si="19"/>
        <v/>
      </c>
      <c r="AV30" s="25" t="str">
        <f t="shared" ca="1" si="19"/>
        <v/>
      </c>
      <c r="AW30" s="25" t="str">
        <f t="shared" ca="1" si="20"/>
        <v/>
      </c>
      <c r="AX30" s="25" t="str">
        <f t="shared" ca="1" si="20"/>
        <v/>
      </c>
      <c r="AY30" s="25" t="str">
        <f t="shared" ca="1" si="20"/>
        <v/>
      </c>
      <c r="AZ30" s="25" t="str">
        <f t="shared" ca="1" si="20"/>
        <v/>
      </c>
      <c r="BA30" s="25" t="str">
        <f t="shared" ca="1" si="20"/>
        <v/>
      </c>
      <c r="BB30" s="25" t="str">
        <f t="shared" ca="1" si="20"/>
        <v/>
      </c>
      <c r="BC30" s="25" t="str">
        <f t="shared" ca="1" si="20"/>
        <v/>
      </c>
      <c r="BD30" s="25" t="str">
        <f t="shared" ca="1" si="20"/>
        <v/>
      </c>
      <c r="BE30" s="25" t="str">
        <f t="shared" ca="1" si="20"/>
        <v/>
      </c>
      <c r="BF30" s="25" t="str">
        <f t="shared" ca="1" si="20"/>
        <v/>
      </c>
      <c r="BG30" s="25" t="str">
        <f t="shared" ca="1" si="21"/>
        <v/>
      </c>
      <c r="BH30" s="25" t="str">
        <f t="shared" ca="1" si="21"/>
        <v/>
      </c>
      <c r="BI30" s="25" t="str">
        <f t="shared" ca="1" si="21"/>
        <v/>
      </c>
      <c r="BJ30" s="25" t="str">
        <f t="shared" ca="1" si="21"/>
        <v/>
      </c>
      <c r="BK30" s="25" t="str">
        <f t="shared" ca="1" si="21"/>
        <v/>
      </c>
      <c r="BL30" s="25" t="str">
        <f t="shared" ca="1" si="21"/>
        <v/>
      </c>
    </row>
    <row r="31" spans="1:64" s="1" customFormat="1" ht="40.15" customHeight="1">
      <c r="A31" s="9"/>
      <c r="B31" s="61"/>
      <c r="C31" s="57"/>
      <c r="D31" s="57"/>
      <c r="E31" s="58"/>
      <c r="F31" s="59"/>
      <c r="G31" s="60"/>
      <c r="H31" s="57"/>
      <c r="I31" s="25" t="str">
        <f t="shared" ca="1" si="16"/>
        <v/>
      </c>
      <c r="J31" s="25" t="str">
        <f t="shared" ca="1" si="16"/>
        <v/>
      </c>
      <c r="K31" s="25" t="str">
        <f t="shared" ca="1" si="16"/>
        <v/>
      </c>
      <c r="L31" s="25" t="str">
        <f t="shared" ca="1" si="16"/>
        <v/>
      </c>
      <c r="M31" s="25" t="str">
        <f t="shared" ca="1" si="16"/>
        <v/>
      </c>
      <c r="N31" s="25" t="str">
        <f t="shared" ca="1" si="16"/>
        <v/>
      </c>
      <c r="O31" s="25" t="str">
        <f t="shared" ca="1" si="16"/>
        <v/>
      </c>
      <c r="P31" s="25" t="str">
        <f t="shared" ca="1" si="16"/>
        <v/>
      </c>
      <c r="Q31" s="25" t="str">
        <f t="shared" ca="1" si="16"/>
        <v/>
      </c>
      <c r="R31" s="25" t="str">
        <f t="shared" ca="1" si="16"/>
        <v/>
      </c>
      <c r="S31" s="25" t="str">
        <f t="shared" ca="1" si="17"/>
        <v/>
      </c>
      <c r="T31" s="25" t="str">
        <f t="shared" ca="1" si="17"/>
        <v/>
      </c>
      <c r="U31" s="25" t="str">
        <f t="shared" ca="1" si="17"/>
        <v/>
      </c>
      <c r="V31" s="25" t="str">
        <f t="shared" ca="1" si="17"/>
        <v/>
      </c>
      <c r="W31" s="25" t="str">
        <f t="shared" ca="1" si="17"/>
        <v/>
      </c>
      <c r="X31" s="25" t="str">
        <f t="shared" ca="1" si="17"/>
        <v/>
      </c>
      <c r="Y31" s="25" t="str">
        <f t="shared" ca="1" si="17"/>
        <v/>
      </c>
      <c r="Z31" s="25" t="str">
        <f t="shared" ca="1" si="17"/>
        <v/>
      </c>
      <c r="AA31" s="25" t="str">
        <f t="shared" ca="1" si="17"/>
        <v/>
      </c>
      <c r="AB31" s="25" t="str">
        <f t="shared" ca="1" si="17"/>
        <v/>
      </c>
      <c r="AC31" s="25" t="str">
        <f t="shared" ca="1" si="18"/>
        <v/>
      </c>
      <c r="AD31" s="25" t="str">
        <f t="shared" ca="1" si="18"/>
        <v/>
      </c>
      <c r="AE31" s="25" t="str">
        <f t="shared" ca="1" si="18"/>
        <v/>
      </c>
      <c r="AF31" s="25" t="str">
        <f t="shared" ca="1" si="18"/>
        <v/>
      </c>
      <c r="AG31" s="25" t="str">
        <f t="shared" ca="1" si="18"/>
        <v/>
      </c>
      <c r="AH31" s="25" t="str">
        <f t="shared" ca="1" si="18"/>
        <v/>
      </c>
      <c r="AI31" s="25" t="str">
        <f t="shared" ca="1" si="18"/>
        <v/>
      </c>
      <c r="AJ31" s="25" t="str">
        <f t="shared" ca="1" si="18"/>
        <v/>
      </c>
      <c r="AK31" s="25" t="str">
        <f t="shared" ca="1" si="18"/>
        <v/>
      </c>
      <c r="AL31" s="25" t="str">
        <f t="shared" ca="1" si="18"/>
        <v/>
      </c>
      <c r="AM31" s="25" t="str">
        <f t="shared" ca="1" si="19"/>
        <v/>
      </c>
      <c r="AN31" s="25" t="str">
        <f t="shared" ca="1" si="19"/>
        <v/>
      </c>
      <c r="AO31" s="25" t="str">
        <f t="shared" ca="1" si="19"/>
        <v/>
      </c>
      <c r="AP31" s="25" t="str">
        <f t="shared" ca="1" si="19"/>
        <v/>
      </c>
      <c r="AQ31" s="25" t="str">
        <f t="shared" ca="1" si="19"/>
        <v/>
      </c>
      <c r="AR31" s="25" t="str">
        <f t="shared" ca="1" si="19"/>
        <v/>
      </c>
      <c r="AS31" s="25" t="str">
        <f t="shared" ca="1" si="19"/>
        <v/>
      </c>
      <c r="AT31" s="25" t="str">
        <f t="shared" ca="1" si="19"/>
        <v/>
      </c>
      <c r="AU31" s="25" t="str">
        <f t="shared" ca="1" si="19"/>
        <v/>
      </c>
      <c r="AV31" s="25" t="str">
        <f t="shared" ca="1" si="19"/>
        <v/>
      </c>
      <c r="AW31" s="25" t="str">
        <f t="shared" ca="1" si="20"/>
        <v/>
      </c>
      <c r="AX31" s="25" t="str">
        <f t="shared" ca="1" si="20"/>
        <v/>
      </c>
      <c r="AY31" s="25" t="str">
        <f t="shared" ca="1" si="20"/>
        <v/>
      </c>
      <c r="AZ31" s="25" t="str">
        <f t="shared" ca="1" si="20"/>
        <v/>
      </c>
      <c r="BA31" s="25" t="str">
        <f t="shared" ca="1" si="20"/>
        <v/>
      </c>
      <c r="BB31" s="25" t="str">
        <f t="shared" ca="1" si="20"/>
        <v/>
      </c>
      <c r="BC31" s="25" t="str">
        <f t="shared" ca="1" si="20"/>
        <v/>
      </c>
      <c r="BD31" s="25" t="str">
        <f t="shared" ca="1" si="20"/>
        <v/>
      </c>
      <c r="BE31" s="25" t="str">
        <f t="shared" ca="1" si="20"/>
        <v/>
      </c>
      <c r="BF31" s="25" t="str">
        <f t="shared" ca="1" si="20"/>
        <v/>
      </c>
      <c r="BG31" s="25" t="str">
        <f t="shared" ca="1" si="21"/>
        <v/>
      </c>
      <c r="BH31" s="25" t="str">
        <f t="shared" ca="1" si="21"/>
        <v/>
      </c>
      <c r="BI31" s="25" t="str">
        <f t="shared" ca="1" si="21"/>
        <v/>
      </c>
      <c r="BJ31" s="25" t="str">
        <f t="shared" ca="1" si="21"/>
        <v/>
      </c>
      <c r="BK31" s="25" t="str">
        <f t="shared" ca="1" si="21"/>
        <v/>
      </c>
      <c r="BL31" s="25" t="str">
        <f t="shared" ca="1" si="21"/>
        <v/>
      </c>
    </row>
    <row r="32" spans="1:64" s="1" customFormat="1" ht="40.15" customHeight="1">
      <c r="A32" s="9"/>
      <c r="B32" s="61"/>
      <c r="C32" s="57"/>
      <c r="D32" s="57"/>
      <c r="E32" s="58"/>
      <c r="F32" s="59"/>
      <c r="G32" s="60"/>
      <c r="H32" s="57"/>
      <c r="I32" s="25" t="str">
        <f t="shared" ca="1" si="16"/>
        <v/>
      </c>
      <c r="J32" s="25" t="str">
        <f t="shared" ca="1" si="16"/>
        <v/>
      </c>
      <c r="K32" s="25" t="str">
        <f t="shared" ca="1" si="16"/>
        <v/>
      </c>
      <c r="L32" s="25" t="str">
        <f t="shared" ca="1" si="16"/>
        <v/>
      </c>
      <c r="M32" s="25" t="str">
        <f t="shared" ca="1" si="16"/>
        <v/>
      </c>
      <c r="N32" s="25" t="str">
        <f t="shared" ca="1" si="16"/>
        <v/>
      </c>
      <c r="O32" s="25" t="str">
        <f t="shared" ca="1" si="16"/>
        <v/>
      </c>
      <c r="P32" s="25" t="str">
        <f t="shared" ca="1" si="16"/>
        <v/>
      </c>
      <c r="Q32" s="25" t="str">
        <f t="shared" ca="1" si="16"/>
        <v/>
      </c>
      <c r="R32" s="25" t="str">
        <f t="shared" ca="1" si="16"/>
        <v/>
      </c>
      <c r="S32" s="25" t="str">
        <f t="shared" ca="1" si="17"/>
        <v/>
      </c>
      <c r="T32" s="25" t="str">
        <f t="shared" ca="1" si="17"/>
        <v/>
      </c>
      <c r="U32" s="25" t="str">
        <f t="shared" ca="1" si="17"/>
        <v/>
      </c>
      <c r="V32" s="25" t="str">
        <f t="shared" ca="1" si="17"/>
        <v/>
      </c>
      <c r="W32" s="25" t="str">
        <f t="shared" ca="1" si="17"/>
        <v/>
      </c>
      <c r="X32" s="25" t="str">
        <f t="shared" ca="1" si="17"/>
        <v/>
      </c>
      <c r="Y32" s="25" t="str">
        <f t="shared" ca="1" si="17"/>
        <v/>
      </c>
      <c r="Z32" s="25" t="str">
        <f t="shared" ca="1" si="17"/>
        <v/>
      </c>
      <c r="AA32" s="25" t="str">
        <f t="shared" ca="1" si="17"/>
        <v/>
      </c>
      <c r="AB32" s="25" t="str">
        <f t="shared" ca="1" si="17"/>
        <v/>
      </c>
      <c r="AC32" s="25" t="str">
        <f t="shared" ca="1" si="18"/>
        <v/>
      </c>
      <c r="AD32" s="25" t="str">
        <f t="shared" ca="1" si="18"/>
        <v/>
      </c>
      <c r="AE32" s="25" t="str">
        <f t="shared" ca="1" si="18"/>
        <v/>
      </c>
      <c r="AF32" s="25" t="str">
        <f t="shared" ca="1" si="18"/>
        <v/>
      </c>
      <c r="AG32" s="25" t="str">
        <f t="shared" ca="1" si="18"/>
        <v/>
      </c>
      <c r="AH32" s="25" t="str">
        <f t="shared" ca="1" si="18"/>
        <v/>
      </c>
      <c r="AI32" s="25" t="str">
        <f t="shared" ca="1" si="18"/>
        <v/>
      </c>
      <c r="AJ32" s="25" t="str">
        <f t="shared" ca="1" si="18"/>
        <v/>
      </c>
      <c r="AK32" s="25" t="str">
        <f t="shared" ca="1" si="18"/>
        <v/>
      </c>
      <c r="AL32" s="25" t="str">
        <f t="shared" ca="1" si="18"/>
        <v/>
      </c>
      <c r="AM32" s="25" t="str">
        <f t="shared" ca="1" si="19"/>
        <v/>
      </c>
      <c r="AN32" s="25" t="str">
        <f t="shared" ca="1" si="19"/>
        <v/>
      </c>
      <c r="AO32" s="25" t="str">
        <f t="shared" ca="1" si="19"/>
        <v/>
      </c>
      <c r="AP32" s="25" t="str">
        <f t="shared" ca="1" si="19"/>
        <v/>
      </c>
      <c r="AQ32" s="25" t="str">
        <f t="shared" ca="1" si="19"/>
        <v/>
      </c>
      <c r="AR32" s="25" t="str">
        <f t="shared" ca="1" si="19"/>
        <v/>
      </c>
      <c r="AS32" s="25" t="str">
        <f t="shared" ca="1" si="19"/>
        <v/>
      </c>
      <c r="AT32" s="25" t="str">
        <f t="shared" ca="1" si="19"/>
        <v/>
      </c>
      <c r="AU32" s="25" t="str">
        <f t="shared" ca="1" si="19"/>
        <v/>
      </c>
      <c r="AV32" s="25" t="str">
        <f t="shared" ca="1" si="19"/>
        <v/>
      </c>
      <c r="AW32" s="25" t="str">
        <f t="shared" ca="1" si="20"/>
        <v/>
      </c>
      <c r="AX32" s="25" t="str">
        <f t="shared" ca="1" si="20"/>
        <v/>
      </c>
      <c r="AY32" s="25" t="str">
        <f t="shared" ca="1" si="20"/>
        <v/>
      </c>
      <c r="AZ32" s="25" t="str">
        <f t="shared" ca="1" si="20"/>
        <v/>
      </c>
      <c r="BA32" s="25" t="str">
        <f t="shared" ca="1" si="20"/>
        <v/>
      </c>
      <c r="BB32" s="25" t="str">
        <f t="shared" ca="1" si="20"/>
        <v/>
      </c>
      <c r="BC32" s="25" t="str">
        <f t="shared" ca="1" si="20"/>
        <v/>
      </c>
      <c r="BD32" s="25" t="str">
        <f t="shared" ca="1" si="20"/>
        <v/>
      </c>
      <c r="BE32" s="25" t="str">
        <f t="shared" ca="1" si="20"/>
        <v/>
      </c>
      <c r="BF32" s="25" t="str">
        <f t="shared" ca="1" si="20"/>
        <v/>
      </c>
      <c r="BG32" s="25" t="str">
        <f t="shared" ca="1" si="21"/>
        <v/>
      </c>
      <c r="BH32" s="25" t="str">
        <f t="shared" ca="1" si="21"/>
        <v/>
      </c>
      <c r="BI32" s="25" t="str">
        <f t="shared" ca="1" si="21"/>
        <v/>
      </c>
      <c r="BJ32" s="25" t="str">
        <f t="shared" ca="1" si="21"/>
        <v/>
      </c>
      <c r="BK32" s="25" t="str">
        <f t="shared" ca="1" si="21"/>
        <v/>
      </c>
      <c r="BL32" s="25" t="str">
        <f t="shared" ca="1" si="21"/>
        <v/>
      </c>
    </row>
    <row r="33" spans="1:65" s="1" customFormat="1" ht="40.15" customHeight="1">
      <c r="A33" s="9"/>
      <c r="B33" s="61"/>
      <c r="C33" s="57"/>
      <c r="D33" s="57"/>
      <c r="E33" s="58"/>
      <c r="F33" s="59"/>
      <c r="G33" s="60"/>
      <c r="H33" s="57"/>
      <c r="I33" s="25" t="str">
        <f t="shared" ca="1" si="16"/>
        <v/>
      </c>
      <c r="J33" s="25" t="str">
        <f t="shared" ca="1" si="16"/>
        <v/>
      </c>
      <c r="K33" s="25" t="str">
        <f t="shared" ca="1" si="16"/>
        <v/>
      </c>
      <c r="L33" s="25" t="str">
        <f t="shared" ca="1" si="16"/>
        <v/>
      </c>
      <c r="M33" s="25" t="str">
        <f t="shared" ca="1" si="16"/>
        <v/>
      </c>
      <c r="N33" s="25" t="str">
        <f t="shared" ca="1" si="16"/>
        <v/>
      </c>
      <c r="O33" s="25" t="str">
        <f t="shared" ca="1" si="16"/>
        <v/>
      </c>
      <c r="P33" s="25" t="str">
        <f t="shared" ca="1" si="16"/>
        <v/>
      </c>
      <c r="Q33" s="25" t="str">
        <f t="shared" ca="1" si="16"/>
        <v/>
      </c>
      <c r="R33" s="25" t="str">
        <f t="shared" ca="1" si="16"/>
        <v/>
      </c>
      <c r="S33" s="25" t="str">
        <f t="shared" ca="1" si="17"/>
        <v/>
      </c>
      <c r="T33" s="25" t="str">
        <f t="shared" ca="1" si="17"/>
        <v/>
      </c>
      <c r="U33" s="25" t="str">
        <f t="shared" ca="1" si="17"/>
        <v/>
      </c>
      <c r="V33" s="25" t="str">
        <f t="shared" ca="1" si="17"/>
        <v/>
      </c>
      <c r="W33" s="25" t="str">
        <f t="shared" ca="1" si="17"/>
        <v/>
      </c>
      <c r="X33" s="25" t="str">
        <f t="shared" ca="1" si="17"/>
        <v/>
      </c>
      <c r="Y33" s="25" t="str">
        <f t="shared" ca="1" si="17"/>
        <v/>
      </c>
      <c r="Z33" s="25" t="str">
        <f t="shared" ca="1" si="17"/>
        <v/>
      </c>
      <c r="AA33" s="25" t="str">
        <f t="shared" ca="1" si="17"/>
        <v/>
      </c>
      <c r="AB33" s="25" t="str">
        <f t="shared" ca="1" si="17"/>
        <v/>
      </c>
      <c r="AC33" s="25" t="str">
        <f t="shared" ca="1" si="18"/>
        <v/>
      </c>
      <c r="AD33" s="25" t="str">
        <f t="shared" ca="1" si="18"/>
        <v/>
      </c>
      <c r="AE33" s="25" t="str">
        <f t="shared" ca="1" si="18"/>
        <v/>
      </c>
      <c r="AF33" s="25" t="str">
        <f t="shared" ca="1" si="18"/>
        <v/>
      </c>
      <c r="AG33" s="25" t="str">
        <f t="shared" ca="1" si="18"/>
        <v/>
      </c>
      <c r="AH33" s="25" t="str">
        <f t="shared" ca="1" si="18"/>
        <v/>
      </c>
      <c r="AI33" s="25" t="str">
        <f t="shared" ca="1" si="18"/>
        <v/>
      </c>
      <c r="AJ33" s="25" t="str">
        <f t="shared" ca="1" si="18"/>
        <v/>
      </c>
      <c r="AK33" s="25" t="str">
        <f t="shared" ca="1" si="18"/>
        <v/>
      </c>
      <c r="AL33" s="25" t="str">
        <f t="shared" ca="1" si="18"/>
        <v/>
      </c>
      <c r="AM33" s="25" t="str">
        <f t="shared" ca="1" si="19"/>
        <v/>
      </c>
      <c r="AN33" s="25" t="str">
        <f t="shared" ca="1" si="19"/>
        <v/>
      </c>
      <c r="AO33" s="25" t="str">
        <f t="shared" ca="1" si="19"/>
        <v/>
      </c>
      <c r="AP33" s="25" t="str">
        <f t="shared" ca="1" si="19"/>
        <v/>
      </c>
      <c r="AQ33" s="25" t="str">
        <f t="shared" ca="1" si="19"/>
        <v/>
      </c>
      <c r="AR33" s="25" t="str">
        <f t="shared" ca="1" si="19"/>
        <v/>
      </c>
      <c r="AS33" s="25" t="str">
        <f t="shared" ca="1" si="19"/>
        <v/>
      </c>
      <c r="AT33" s="25" t="str">
        <f t="shared" ca="1" si="19"/>
        <v/>
      </c>
      <c r="AU33" s="25" t="str">
        <f t="shared" ca="1" si="19"/>
        <v/>
      </c>
      <c r="AV33" s="25" t="str">
        <f t="shared" ca="1" si="19"/>
        <v/>
      </c>
      <c r="AW33" s="25" t="str">
        <f t="shared" ca="1" si="20"/>
        <v/>
      </c>
      <c r="AX33" s="25" t="str">
        <f t="shared" ca="1" si="20"/>
        <v/>
      </c>
      <c r="AY33" s="25" t="str">
        <f t="shared" ca="1" si="20"/>
        <v/>
      </c>
      <c r="AZ33" s="25" t="str">
        <f t="shared" ca="1" si="20"/>
        <v/>
      </c>
      <c r="BA33" s="25" t="str">
        <f t="shared" ca="1" si="20"/>
        <v/>
      </c>
      <c r="BB33" s="25" t="str">
        <f t="shared" ca="1" si="20"/>
        <v/>
      </c>
      <c r="BC33" s="25" t="str">
        <f t="shared" ca="1" si="20"/>
        <v/>
      </c>
      <c r="BD33" s="25" t="str">
        <f t="shared" ca="1" si="20"/>
        <v/>
      </c>
      <c r="BE33" s="25" t="str">
        <f t="shared" ca="1" si="20"/>
        <v/>
      </c>
      <c r="BF33" s="25" t="str">
        <f t="shared" ca="1" si="20"/>
        <v/>
      </c>
      <c r="BG33" s="25" t="str">
        <f t="shared" ca="1" si="21"/>
        <v/>
      </c>
      <c r="BH33" s="25" t="str">
        <f t="shared" ca="1" si="21"/>
        <v/>
      </c>
      <c r="BI33" s="25" t="str">
        <f t="shared" ca="1" si="21"/>
        <v/>
      </c>
      <c r="BJ33" s="25" t="str">
        <f t="shared" ca="1" si="21"/>
        <v/>
      </c>
      <c r="BK33" s="25" t="str">
        <f t="shared" ca="1" si="21"/>
        <v/>
      </c>
      <c r="BL33" s="25" t="str">
        <f t="shared" ca="1" si="21"/>
        <v/>
      </c>
    </row>
    <row r="34" spans="1:65" s="1" customFormat="1" ht="40.15" customHeight="1">
      <c r="A34" s="9"/>
      <c r="B34" s="61"/>
      <c r="C34" s="57"/>
      <c r="D34" s="57"/>
      <c r="E34" s="58"/>
      <c r="F34" s="59"/>
      <c r="G34" s="60"/>
      <c r="H34" s="57"/>
      <c r="I34" s="25" t="str">
        <f t="shared" ca="1" si="16"/>
        <v/>
      </c>
      <c r="J34" s="25" t="str">
        <f t="shared" ca="1" si="16"/>
        <v/>
      </c>
      <c r="K34" s="25" t="str">
        <f t="shared" ca="1" si="16"/>
        <v/>
      </c>
      <c r="L34" s="25" t="str">
        <f t="shared" ca="1" si="16"/>
        <v/>
      </c>
      <c r="M34" s="25" t="str">
        <f t="shared" ca="1" si="16"/>
        <v/>
      </c>
      <c r="N34" s="25" t="str">
        <f t="shared" ca="1" si="16"/>
        <v/>
      </c>
      <c r="O34" s="25" t="str">
        <f t="shared" ca="1" si="16"/>
        <v/>
      </c>
      <c r="P34" s="25" t="str">
        <f t="shared" ca="1" si="16"/>
        <v/>
      </c>
      <c r="Q34" s="25" t="str">
        <f t="shared" ca="1" si="16"/>
        <v/>
      </c>
      <c r="R34" s="25" t="str">
        <f t="shared" ca="1" si="16"/>
        <v/>
      </c>
      <c r="S34" s="25" t="str">
        <f t="shared" ca="1" si="17"/>
        <v/>
      </c>
      <c r="T34" s="25" t="str">
        <f t="shared" ca="1" si="17"/>
        <v/>
      </c>
      <c r="U34" s="25" t="str">
        <f t="shared" ca="1" si="17"/>
        <v/>
      </c>
      <c r="V34" s="25" t="str">
        <f t="shared" ca="1" si="17"/>
        <v/>
      </c>
      <c r="W34" s="25" t="str">
        <f t="shared" ca="1" si="17"/>
        <v/>
      </c>
      <c r="X34" s="25" t="str">
        <f t="shared" ca="1" si="17"/>
        <v/>
      </c>
      <c r="Y34" s="25" t="str">
        <f t="shared" ca="1" si="17"/>
        <v/>
      </c>
      <c r="Z34" s="25" t="str">
        <f t="shared" ca="1" si="17"/>
        <v/>
      </c>
      <c r="AA34" s="25" t="str">
        <f t="shared" ca="1" si="17"/>
        <v/>
      </c>
      <c r="AB34" s="25" t="str">
        <f t="shared" ca="1" si="17"/>
        <v/>
      </c>
      <c r="AC34" s="25" t="str">
        <f t="shared" ca="1" si="18"/>
        <v/>
      </c>
      <c r="AD34" s="25" t="str">
        <f t="shared" ca="1" si="18"/>
        <v/>
      </c>
      <c r="AE34" s="25" t="str">
        <f t="shared" ca="1" si="18"/>
        <v/>
      </c>
      <c r="AF34" s="25" t="str">
        <f t="shared" ca="1" si="18"/>
        <v/>
      </c>
      <c r="AG34" s="25" t="str">
        <f t="shared" ca="1" si="18"/>
        <v/>
      </c>
      <c r="AH34" s="25" t="str">
        <f t="shared" ca="1" si="18"/>
        <v/>
      </c>
      <c r="AI34" s="25" t="str">
        <f t="shared" ca="1" si="18"/>
        <v/>
      </c>
      <c r="AJ34" s="25" t="str">
        <f t="shared" ca="1" si="18"/>
        <v/>
      </c>
      <c r="AK34" s="25" t="str">
        <f t="shared" ca="1" si="18"/>
        <v/>
      </c>
      <c r="AL34" s="25" t="str">
        <f t="shared" ca="1" si="18"/>
        <v/>
      </c>
      <c r="AM34" s="25" t="str">
        <f t="shared" ca="1" si="19"/>
        <v/>
      </c>
      <c r="AN34" s="25" t="str">
        <f t="shared" ca="1" si="19"/>
        <v/>
      </c>
      <c r="AO34" s="25" t="str">
        <f t="shared" ca="1" si="19"/>
        <v/>
      </c>
      <c r="AP34" s="25" t="str">
        <f t="shared" ca="1" si="19"/>
        <v/>
      </c>
      <c r="AQ34" s="25" t="str">
        <f t="shared" ca="1" si="19"/>
        <v/>
      </c>
      <c r="AR34" s="25" t="str">
        <f t="shared" ca="1" si="19"/>
        <v/>
      </c>
      <c r="AS34" s="25" t="str">
        <f t="shared" ca="1" si="19"/>
        <v/>
      </c>
      <c r="AT34" s="25" t="str">
        <f t="shared" ca="1" si="19"/>
        <v/>
      </c>
      <c r="AU34" s="25" t="str">
        <f t="shared" ca="1" si="19"/>
        <v/>
      </c>
      <c r="AV34" s="25" t="str">
        <f t="shared" ca="1" si="19"/>
        <v/>
      </c>
      <c r="AW34" s="25" t="str">
        <f t="shared" ca="1" si="20"/>
        <v/>
      </c>
      <c r="AX34" s="25" t="str">
        <f t="shared" ca="1" si="20"/>
        <v/>
      </c>
      <c r="AY34" s="25" t="str">
        <f t="shared" ca="1" si="20"/>
        <v/>
      </c>
      <c r="AZ34" s="25" t="str">
        <f t="shared" ca="1" si="20"/>
        <v/>
      </c>
      <c r="BA34" s="25" t="str">
        <f t="shared" ca="1" si="20"/>
        <v/>
      </c>
      <c r="BB34" s="25" t="str">
        <f t="shared" ca="1" si="20"/>
        <v/>
      </c>
      <c r="BC34" s="25" t="str">
        <f t="shared" ca="1" si="20"/>
        <v/>
      </c>
      <c r="BD34" s="25" t="str">
        <f t="shared" ca="1" si="20"/>
        <v/>
      </c>
      <c r="BE34" s="25" t="str">
        <f t="shared" ca="1" si="20"/>
        <v/>
      </c>
      <c r="BF34" s="25" t="str">
        <f t="shared" ca="1" si="20"/>
        <v/>
      </c>
      <c r="BG34" s="25" t="str">
        <f t="shared" ca="1" si="21"/>
        <v/>
      </c>
      <c r="BH34" s="25" t="str">
        <f t="shared" ca="1" si="21"/>
        <v/>
      </c>
      <c r="BI34" s="25" t="str">
        <f t="shared" ca="1" si="21"/>
        <v/>
      </c>
      <c r="BJ34" s="25" t="str">
        <f t="shared" ca="1" si="21"/>
        <v/>
      </c>
      <c r="BK34" s="25" t="str">
        <f t="shared" ca="1" si="21"/>
        <v/>
      </c>
      <c r="BL34" s="25" t="str">
        <f t="shared" ca="1" si="21"/>
        <v/>
      </c>
    </row>
    <row r="35" spans="1:65" s="1" customFormat="1" ht="40.15" customHeight="1">
      <c r="A35" s="9"/>
      <c r="B35" s="61"/>
      <c r="C35" s="57"/>
      <c r="D35" s="57"/>
      <c r="E35" s="58"/>
      <c r="F35" s="59"/>
      <c r="G35" s="60"/>
      <c r="H35" s="57"/>
      <c r="I35" s="25" t="str">
        <f t="shared" ca="1" si="16"/>
        <v/>
      </c>
      <c r="J35" s="25" t="str">
        <f t="shared" ca="1" si="16"/>
        <v/>
      </c>
      <c r="K35" s="25" t="str">
        <f t="shared" ca="1" si="16"/>
        <v/>
      </c>
      <c r="L35" s="25" t="str">
        <f t="shared" ca="1" si="16"/>
        <v/>
      </c>
      <c r="M35" s="25" t="str">
        <f t="shared" ca="1" si="16"/>
        <v/>
      </c>
      <c r="N35" s="25" t="str">
        <f t="shared" ca="1" si="16"/>
        <v/>
      </c>
      <c r="O35" s="25" t="str">
        <f t="shared" ca="1" si="16"/>
        <v/>
      </c>
      <c r="P35" s="25" t="str">
        <f t="shared" ca="1" si="16"/>
        <v/>
      </c>
      <c r="Q35" s="25" t="str">
        <f t="shared" ca="1" si="16"/>
        <v/>
      </c>
      <c r="R35" s="25" t="str">
        <f t="shared" ca="1" si="16"/>
        <v/>
      </c>
      <c r="S35" s="25" t="str">
        <f t="shared" ca="1" si="17"/>
        <v/>
      </c>
      <c r="T35" s="25" t="str">
        <f t="shared" ca="1" si="17"/>
        <v/>
      </c>
      <c r="U35" s="25" t="str">
        <f t="shared" ca="1" si="17"/>
        <v/>
      </c>
      <c r="V35" s="25" t="str">
        <f t="shared" ca="1" si="17"/>
        <v/>
      </c>
      <c r="W35" s="25" t="str">
        <f t="shared" ca="1" si="17"/>
        <v/>
      </c>
      <c r="X35" s="25" t="str">
        <f t="shared" ca="1" si="17"/>
        <v/>
      </c>
      <c r="Y35" s="25" t="str">
        <f t="shared" ca="1" si="17"/>
        <v/>
      </c>
      <c r="Z35" s="25" t="str">
        <f t="shared" ca="1" si="17"/>
        <v/>
      </c>
      <c r="AA35" s="25" t="str">
        <f t="shared" ca="1" si="17"/>
        <v/>
      </c>
      <c r="AB35" s="25" t="str">
        <f t="shared" ca="1" si="17"/>
        <v/>
      </c>
      <c r="AC35" s="25" t="str">
        <f t="shared" ca="1" si="18"/>
        <v/>
      </c>
      <c r="AD35" s="25" t="str">
        <f t="shared" ca="1" si="18"/>
        <v/>
      </c>
      <c r="AE35" s="25" t="str">
        <f t="shared" ca="1" si="18"/>
        <v/>
      </c>
      <c r="AF35" s="25" t="str">
        <f t="shared" ca="1" si="18"/>
        <v/>
      </c>
      <c r="AG35" s="25" t="str">
        <f t="shared" ca="1" si="18"/>
        <v/>
      </c>
      <c r="AH35" s="25" t="str">
        <f t="shared" ca="1" si="18"/>
        <v/>
      </c>
      <c r="AI35" s="25" t="str">
        <f t="shared" ca="1" si="18"/>
        <v/>
      </c>
      <c r="AJ35" s="25" t="str">
        <f t="shared" ca="1" si="18"/>
        <v/>
      </c>
      <c r="AK35" s="25" t="str">
        <f t="shared" ca="1" si="18"/>
        <v/>
      </c>
      <c r="AL35" s="25" t="str">
        <f t="shared" ca="1" si="18"/>
        <v/>
      </c>
      <c r="AM35" s="25" t="str">
        <f t="shared" ca="1" si="19"/>
        <v/>
      </c>
      <c r="AN35" s="25" t="str">
        <f t="shared" ca="1" si="19"/>
        <v/>
      </c>
      <c r="AO35" s="25" t="str">
        <f t="shared" ca="1" si="19"/>
        <v/>
      </c>
      <c r="AP35" s="25" t="str">
        <f t="shared" ca="1" si="19"/>
        <v/>
      </c>
      <c r="AQ35" s="25" t="str">
        <f t="shared" ca="1" si="19"/>
        <v/>
      </c>
      <c r="AR35" s="25" t="str">
        <f t="shared" ca="1" si="19"/>
        <v/>
      </c>
      <c r="AS35" s="25" t="str">
        <f t="shared" ca="1" si="19"/>
        <v/>
      </c>
      <c r="AT35" s="25" t="str">
        <f t="shared" ca="1" si="19"/>
        <v/>
      </c>
      <c r="AU35" s="25" t="str">
        <f t="shared" ca="1" si="19"/>
        <v/>
      </c>
      <c r="AV35" s="25" t="str">
        <f t="shared" ca="1" si="19"/>
        <v/>
      </c>
      <c r="AW35" s="25" t="str">
        <f t="shared" ca="1" si="20"/>
        <v/>
      </c>
      <c r="AX35" s="25" t="str">
        <f t="shared" ca="1" si="20"/>
        <v/>
      </c>
      <c r="AY35" s="25" t="str">
        <f t="shared" ca="1" si="20"/>
        <v/>
      </c>
      <c r="AZ35" s="25" t="str">
        <f t="shared" ca="1" si="20"/>
        <v/>
      </c>
      <c r="BA35" s="25" t="str">
        <f t="shared" ca="1" si="20"/>
        <v/>
      </c>
      <c r="BB35" s="25" t="str">
        <f t="shared" ca="1" si="20"/>
        <v/>
      </c>
      <c r="BC35" s="25" t="str">
        <f t="shared" ca="1" si="20"/>
        <v/>
      </c>
      <c r="BD35" s="25" t="str">
        <f t="shared" ca="1" si="20"/>
        <v/>
      </c>
      <c r="BE35" s="25" t="str">
        <f t="shared" ca="1" si="20"/>
        <v/>
      </c>
      <c r="BF35" s="25" t="str">
        <f t="shared" ca="1" si="20"/>
        <v/>
      </c>
      <c r="BG35" s="25" t="str">
        <f t="shared" ca="1" si="21"/>
        <v/>
      </c>
      <c r="BH35" s="25" t="str">
        <f t="shared" ca="1" si="21"/>
        <v/>
      </c>
      <c r="BI35" s="25" t="str">
        <f t="shared" ca="1" si="21"/>
        <v/>
      </c>
      <c r="BJ35" s="25" t="str">
        <f t="shared" ca="1" si="21"/>
        <v/>
      </c>
      <c r="BK35" s="25" t="str">
        <f t="shared" ca="1" si="21"/>
        <v/>
      </c>
      <c r="BL35" s="25" t="str">
        <f t="shared" ca="1" si="21"/>
        <v/>
      </c>
      <c r="BM35" s="86"/>
    </row>
    <row r="36" spans="1:65" s="1" customFormat="1" ht="40.15" customHeight="1">
      <c r="A36" s="10"/>
      <c r="B36" s="115" t="s">
        <v>18</v>
      </c>
      <c r="C36" s="57"/>
      <c r="D36" s="57"/>
      <c r="E36" s="72"/>
      <c r="F36" s="82"/>
      <c r="G36" s="83"/>
      <c r="H36" s="57"/>
      <c r="I36" s="84"/>
      <c r="J36" s="84"/>
      <c r="K36" s="84"/>
      <c r="L36" s="84"/>
      <c r="M36" s="84"/>
      <c r="N36" s="84"/>
      <c r="O36" s="84"/>
      <c r="P36" s="84"/>
      <c r="Q36" s="84"/>
      <c r="R36" s="84"/>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c r="BJ36" s="84"/>
      <c r="BK36" s="84"/>
      <c r="BL36" s="84"/>
    </row>
    <row r="37" spans="1:65" ht="30" customHeight="1">
      <c r="D37" s="4"/>
      <c r="G37" s="11"/>
      <c r="H37" s="3"/>
    </row>
    <row r="38" spans="1:65" ht="30" customHeight="1">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I6:AM6">
    <cfRule type="expression" dxfId="26" priority="4">
      <formula>I$7&lt;=EOMONTH($I$7,0)</formula>
    </cfRule>
  </conditionalFormatting>
  <conditionalFormatting sqref="I6:BL6">
    <cfRule type="expression" dxfId="25" priority="2">
      <formula>AND(I$7&lt;=EOMONTH($I$7,1),I$7&gt;EOMONTH($I$7,0))</formula>
    </cfRule>
  </conditionalFormatting>
  <conditionalFormatting sqref="I7:BL36">
    <cfRule type="expression" dxfId="24" priority="1">
      <formula>AND(TODAY()&gt;=I$7,TODAY()&lt;J$7)</formula>
    </cfRule>
  </conditionalFormatting>
  <conditionalFormatting sqref="I10:BL35">
    <cfRule type="expression" dxfId="23" priority="7" stopIfTrue="1">
      <formula>AND($C10="Geringes Risiko",I$7&gt;=$F10,I$7&lt;=$F10+$G10-1)</formula>
    </cfRule>
    <cfRule type="expression" dxfId="22" priority="8" stopIfTrue="1">
      <formula>AND($C10="Hohes Risiko",I$7&gt;=$F10,I$7&lt;=$F10+$G10-1)</formula>
    </cfRule>
    <cfRule type="expression" dxfId="21" priority="9" stopIfTrue="1">
      <formula>AND($C10="Im Plan",I$7&gt;=$F10,I$7&lt;=$F10+$G10-1)</formula>
    </cfRule>
    <cfRule type="expression" dxfId="20" priority="10" stopIfTrue="1">
      <formula>AND($C10="Mittleres Risiko",I$7&gt;=$F10,I$7&lt;=$F10+$G10-1)</formula>
    </cfRule>
    <cfRule type="expression" dxfId="19" priority="11" stopIfTrue="1">
      <formula>AND(LEN($C10)=0,I$7&gt;=$F10,I$7&lt;=$F10+$G10-1)</formula>
    </cfRule>
  </conditionalFormatting>
  <conditionalFormatting sqref="J6:BL6">
    <cfRule type="expression" dxfId="18" priority="3">
      <formula>AND(J$7&lt;=EOMONTH($I$7,2),J$7&gt;EOMONTH($I$7,0),J$7&gt;EOMONTH($I$7,1))</formula>
    </cfRule>
  </conditionalFormatting>
  <dataValidations count="10">
    <dataValidation type="whole" operator="greaterThanOrEqual" allowBlank="1" showInputMessage="1" promptTitle="Scrollschrittweite" prompt="Das Ändern dieser Zahl bewirkt ein Scrollen in der Gantt-Diagrammansicht." sqref="C7" xr:uid="{662A47A0-7258-440E-8D71-BC54CBC9C651}">
      <formula1>0</formula1>
    </dataValidation>
    <dataValidation type="list" allowBlank="1" showInputMessage="1" showErrorMessage="1" sqref="C10" xr:uid="{12A8278F-D51D-4B98-A311-DB5FCD18D214}">
      <formula1>"Ziel,Meilenstein,Im Plan, Geringes Risiko, Mittleres Risiko, Hohes Risiko"</formula1>
    </dataValidation>
    <dataValidation allowBlank="1" showInputMessage="1" showErrorMessage="1" promptTitle="Erstellen eines Gantt-Diagramms " sqref="A2" xr:uid="{E4602294-DCCD-4B4D-A916-B5520C80CF80}"/>
    <dataValidation allowBlank="1" showInputMessage="1" showErrorMessage="1" prompt="Geben Sie den Firmennamen in Zelle B4._x000a_Eine Legende befindet sich in den Zellen I4 bis AC4. Das Legendenetikett befindet sich in Zelle G4." sqref="A4" xr:uid="{162198D7-BB96-453A-BB1C-71A472FB68F5}"/>
    <dataValidation allowBlank="1" showInputMessage="1" showErrorMessage="1" sqref="A6 A11" xr:uid="{D018285A-B1BB-4604-A67E-E25F048BC864}"/>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1544BB7A-7F3E-469D-9CB6-4B9BACED7ACE}"/>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37D7247-B514-41B2-94CC-2F538E17DE66}"/>
    <dataValidation allowBlank="1" showInputMessage="1" showErrorMessage="1" prompt="Diese Zeile markiert das Ende der Gantt-Meilensteindaten. Geben Sie nichts in diese Zeile ein. _x000a_Um weitere Elemente hinzuzufügen, fügen Sie neue Zeilen darüber ein._x000a_" sqref="A36" xr:uid="{659FD5CB-B62B-4854-B8A9-29F1F70930AC}"/>
    <dataValidation allowBlank="1" showInputMessage="1" showErrorMessage="1" prompt="Dies ist eine leere Zeile." sqref="A35" xr:uid="{60F6BB2A-523D-41BA-B324-85E19FB9FF7E}"/>
    <dataValidation type="list" allowBlank="1" showInputMessage="1" showErrorMessage="1" sqref="C11:C35" xr:uid="{22368BE5-5728-402C-92F5-B548F633B50D}">
      <formula1>"Soll, 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38"/>
  <sheetViews>
    <sheetView showGridLines="0" tabSelected="1" showRuler="0" topLeftCell="A18" zoomScale="70" zoomScaleNormal="70" zoomScalePageLayoutView="70" workbookViewId="0">
      <selection activeCell="S20" sqref="S20"/>
    </sheetView>
  </sheetViews>
  <sheetFormatPr baseColWidth="10" defaultColWidth="9.140625" defaultRowHeight="30" customHeight="1"/>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row r="2" spans="1:68" ht="49.9" customHeight="1">
      <c r="A2" s="10"/>
      <c r="B2" s="125" t="s">
        <v>3</v>
      </c>
      <c r="C2" s="125"/>
      <c r="D2" s="125"/>
      <c r="E2" s="125"/>
      <c r="F2" s="125"/>
      <c r="G2" s="125"/>
      <c r="H2" s="125"/>
      <c r="I2" s="126"/>
      <c r="J2" s="126"/>
      <c r="K2" s="126"/>
      <c r="L2" s="126"/>
      <c r="M2" s="126"/>
      <c r="N2" s="126"/>
      <c r="O2" s="127"/>
      <c r="P2" s="128"/>
      <c r="Q2" s="128"/>
      <c r="R2" s="128"/>
      <c r="S2" s="128"/>
      <c r="T2" s="128"/>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19.899999999999999" customHeight="1">
      <c r="A3" s="10"/>
      <c r="B3" s="40"/>
      <c r="C3" s="41"/>
      <c r="D3" s="42"/>
      <c r="E3" s="42"/>
      <c r="F3" s="43"/>
      <c r="G3" s="26"/>
      <c r="H3" s="26"/>
      <c r="I3" s="44"/>
      <c r="J3" s="26"/>
      <c r="K3" s="26"/>
      <c r="L3" s="26"/>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row>
    <row r="4" spans="1:68" ht="30" customHeight="1">
      <c r="A4" s="10"/>
      <c r="B4" s="52" t="s">
        <v>36</v>
      </c>
      <c r="C4" s="48"/>
      <c r="D4" s="49"/>
      <c r="E4" s="27"/>
      <c r="F4" s="28"/>
      <c r="G4" s="29" t="s">
        <v>30</v>
      </c>
      <c r="H4" s="27"/>
      <c r="I4" s="129" t="s">
        <v>41</v>
      </c>
      <c r="J4" s="129"/>
      <c r="K4" s="129"/>
      <c r="L4" s="129"/>
      <c r="M4" s="129"/>
      <c r="N4" s="129"/>
      <c r="O4" s="30"/>
      <c r="P4" s="130" t="s">
        <v>42</v>
      </c>
      <c r="Q4" s="130"/>
      <c r="R4" s="130"/>
      <c r="S4" s="130"/>
      <c r="T4" s="130"/>
      <c r="U4" s="130"/>
      <c r="V4" s="30"/>
      <c r="W4" s="131" t="s">
        <v>33</v>
      </c>
      <c r="X4" s="131"/>
      <c r="Y4" s="131"/>
      <c r="Z4" s="131"/>
      <c r="AA4" s="131"/>
      <c r="AB4" s="131"/>
      <c r="AC4" s="30"/>
      <c r="AD4" s="132" t="s">
        <v>33</v>
      </c>
      <c r="AE4" s="132"/>
      <c r="AF4" s="132"/>
      <c r="AG4" s="132"/>
      <c r="AH4" s="132"/>
      <c r="AI4" s="30"/>
      <c r="AJ4" s="124" t="s">
        <v>33</v>
      </c>
      <c r="AK4" s="124"/>
      <c r="AL4" s="124"/>
      <c r="AM4" s="124"/>
      <c r="AN4" s="124"/>
      <c r="AO4" s="124"/>
      <c r="AP4" s="124"/>
      <c r="AQ4" s="30"/>
      <c r="AR4" s="30"/>
      <c r="AS4" s="30"/>
      <c r="AT4" s="30"/>
      <c r="AU4" s="30"/>
      <c r="AV4" s="30"/>
      <c r="AW4" s="30"/>
      <c r="AX4" s="30"/>
      <c r="AY4" s="30"/>
      <c r="AZ4" s="30"/>
      <c r="BA4" s="30"/>
      <c r="BB4" s="30"/>
      <c r="BC4" s="30"/>
      <c r="BD4" s="30"/>
      <c r="BE4" s="30"/>
      <c r="BF4" s="30"/>
      <c r="BG4" s="30"/>
      <c r="BH4" s="30"/>
      <c r="BI4" s="30"/>
      <c r="BJ4" s="30"/>
      <c r="BK4" s="30"/>
      <c r="BL4" s="30"/>
      <c r="BM4" s="30"/>
    </row>
    <row r="5" spans="1:68" ht="30" customHeight="1">
      <c r="A5" s="10" t="s">
        <v>34</v>
      </c>
      <c r="B5" s="53" t="s">
        <v>37</v>
      </c>
      <c r="C5" s="50"/>
      <c r="D5" s="50"/>
      <c r="E5" s="30"/>
      <c r="F5" s="31"/>
      <c r="G5" s="30"/>
      <c r="H5" s="27"/>
      <c r="I5" s="30"/>
      <c r="J5" s="30"/>
      <c r="K5" s="30"/>
      <c r="L5" s="30"/>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row>
    <row r="6" spans="1:68" ht="30" customHeight="1">
      <c r="A6" s="10"/>
      <c r="B6" s="47" t="s">
        <v>6</v>
      </c>
      <c r="C6" s="32">
        <v>46023</v>
      </c>
      <c r="D6" s="51"/>
      <c r="E6" s="30"/>
      <c r="F6" s="31"/>
      <c r="G6" s="30"/>
      <c r="H6" s="27"/>
      <c r="I6" s="91" t="str">
        <f ca="1">TEXT(I7,"MMMM")</f>
        <v>Januar</v>
      </c>
      <c r="J6" s="91"/>
      <c r="K6" s="91"/>
      <c r="L6" s="91"/>
      <c r="M6" s="91"/>
      <c r="N6" s="91"/>
      <c r="O6" s="91"/>
      <c r="P6" s="91" t="str">
        <f ca="1">IF(TEXT(P7,"MMMM")=I6,"",TEXT(P7,"MMMM"))</f>
        <v/>
      </c>
      <c r="Q6" s="91"/>
      <c r="R6" s="91"/>
      <c r="S6" s="91"/>
      <c r="T6" s="91"/>
      <c r="U6" s="91"/>
      <c r="V6" s="91"/>
      <c r="W6" s="91" t="str">
        <f ca="1">IF(OR(TEXT(W7,"MMMM")=P6,TEXT(W7,"MMMM")=I6),"",TEXT(W7,"MMMM"))</f>
        <v/>
      </c>
      <c r="X6" s="91"/>
      <c r="Y6" s="91"/>
      <c r="Z6" s="91"/>
      <c r="AA6" s="91"/>
      <c r="AB6" s="91"/>
      <c r="AC6" s="91"/>
      <c r="AD6" s="91" t="str">
        <f ca="1">IF(OR(TEXT(AD7,"MMMM")=W6,TEXT(AD7,"MMMM")=P6,TEXT(AD7,"MMMM")=I6),"",TEXT(AD7,"MMMM"))</f>
        <v/>
      </c>
      <c r="AE6" s="91"/>
      <c r="AF6" s="91"/>
      <c r="AG6" s="91"/>
      <c r="AH6" s="91"/>
      <c r="AI6" s="91"/>
      <c r="AJ6" s="91"/>
      <c r="AK6" s="91" t="str">
        <f ca="1">IF(OR(TEXT(AK7,"MMMM")=AD6,TEXT(AK7,"MMMM")=W6,TEXT(AK7,"MMMM")=P6,TEXT(AK7,"MMMM")=I6),"",TEXT(AK7,"MMMM"))</f>
        <v/>
      </c>
      <c r="AL6" s="91"/>
      <c r="AM6" s="91"/>
      <c r="AN6" s="91"/>
      <c r="AO6" s="91"/>
      <c r="AP6" s="91"/>
      <c r="AQ6" s="91"/>
      <c r="AR6" s="91" t="str">
        <f ca="1">IF(OR(TEXT(AR7,"MMMM")=AK6,TEXT(AR7,"MMMM")=AD6,TEXT(AR7,"MMMM")=W6,TEXT(AR7,"MMMM")=P6),"",TEXT(AR7,"MMMM"))</f>
        <v>Februar</v>
      </c>
      <c r="AS6" s="91"/>
      <c r="AT6" s="91"/>
      <c r="AU6" s="91"/>
      <c r="AV6" s="91"/>
      <c r="AW6" s="91"/>
      <c r="AX6" s="91"/>
      <c r="AY6" s="91" t="str">
        <f ca="1">IF(OR(TEXT(AY7,"MMMM")=AR6,TEXT(AY7,"MMMM")=AK6,TEXT(AY7,"MMMM")=AD6,TEXT(AY7,"MMMM")=W6),"",TEXT(AY7,"MMMM"))</f>
        <v/>
      </c>
      <c r="AZ6" s="91"/>
      <c r="BA6" s="91"/>
      <c r="BB6" s="92"/>
      <c r="BC6" s="63"/>
      <c r="BD6" s="63"/>
      <c r="BE6" s="63"/>
      <c r="BF6" s="63" t="str">
        <f ca="1">IF(OR(TEXT(BF7,"MMMM")=AY6,TEXT(BF7,"MMMM")=AR6,TEXT(BF7,"MMMM")=AK6,TEXT(BF7,"MMMM")=AD6),"",TEXT(BF7,"MMMM"))</f>
        <v/>
      </c>
      <c r="BG6" s="63"/>
      <c r="BH6" s="63"/>
      <c r="BI6" s="63"/>
      <c r="BJ6" s="63"/>
      <c r="BK6" s="63"/>
      <c r="BL6" s="63"/>
      <c r="BM6" s="30"/>
    </row>
    <row r="7" spans="1:68" ht="30" customHeight="1">
      <c r="A7" s="10"/>
      <c r="B7" s="47" t="s">
        <v>7</v>
      </c>
      <c r="C7" s="33">
        <v>1</v>
      </c>
      <c r="D7" s="50"/>
      <c r="E7" s="27"/>
      <c r="F7" s="27"/>
      <c r="G7" s="27"/>
      <c r="H7" s="27"/>
      <c r="I7" s="93">
        <f ca="1">IFERROR(Projekt_Start+Scrollschrittweite,TODAY())</f>
        <v>46024</v>
      </c>
      <c r="J7" s="17">
        <f ca="1">I7+1</f>
        <v>46025</v>
      </c>
      <c r="K7" s="17">
        <f t="shared" ref="K7:AX7" ca="1" si="0">J7+1</f>
        <v>46026</v>
      </c>
      <c r="L7" s="17">
        <f t="shared" ca="1" si="0"/>
        <v>46027</v>
      </c>
      <c r="M7" s="17">
        <f t="shared" ca="1" si="0"/>
        <v>46028</v>
      </c>
      <c r="N7" s="17">
        <f t="shared" ca="1" si="0"/>
        <v>46029</v>
      </c>
      <c r="O7" s="62">
        <f t="shared" ca="1" si="0"/>
        <v>46030</v>
      </c>
      <c r="P7" s="17">
        <f ca="1">O7+1</f>
        <v>46031</v>
      </c>
      <c r="Q7" s="17">
        <f ca="1">P7+1</f>
        <v>46032</v>
      </c>
      <c r="R7" s="17">
        <f t="shared" ca="1" si="0"/>
        <v>46033</v>
      </c>
      <c r="S7" s="17">
        <f t="shared" ca="1" si="0"/>
        <v>46034</v>
      </c>
      <c r="T7" s="17">
        <f t="shared" ca="1" si="0"/>
        <v>46035</v>
      </c>
      <c r="U7" s="17">
        <f t="shared" ca="1" si="0"/>
        <v>46036</v>
      </c>
      <c r="V7" s="62">
        <f t="shared" ca="1" si="0"/>
        <v>46037</v>
      </c>
      <c r="W7" s="17">
        <f ca="1">V7+1</f>
        <v>46038</v>
      </c>
      <c r="X7" s="17">
        <f ca="1">W7+1</f>
        <v>46039</v>
      </c>
      <c r="Y7" s="17">
        <f t="shared" ca="1" si="0"/>
        <v>46040</v>
      </c>
      <c r="Z7" s="17">
        <f t="shared" ca="1" si="0"/>
        <v>46041</v>
      </c>
      <c r="AA7" s="17">
        <f t="shared" ca="1" si="0"/>
        <v>46042</v>
      </c>
      <c r="AB7" s="17">
        <f t="shared" ca="1" si="0"/>
        <v>46043</v>
      </c>
      <c r="AC7" s="62">
        <f t="shared" ca="1" si="0"/>
        <v>46044</v>
      </c>
      <c r="AD7" s="17">
        <f ca="1">AC7+1</f>
        <v>46045</v>
      </c>
      <c r="AE7" s="17">
        <f ca="1">AD7+1</f>
        <v>46046</v>
      </c>
      <c r="AF7" s="17">
        <f t="shared" ca="1" si="0"/>
        <v>46047</v>
      </c>
      <c r="AG7" s="17">
        <f t="shared" ca="1" si="0"/>
        <v>46048</v>
      </c>
      <c r="AH7" s="17">
        <f t="shared" ca="1" si="0"/>
        <v>46049</v>
      </c>
      <c r="AI7" s="17">
        <f t="shared" ca="1" si="0"/>
        <v>46050</v>
      </c>
      <c r="AJ7" s="62">
        <f t="shared" ca="1" si="0"/>
        <v>46051</v>
      </c>
      <c r="AK7" s="17">
        <f ca="1">AJ7+1</f>
        <v>46052</v>
      </c>
      <c r="AL7" s="17">
        <f ca="1">AK7+1</f>
        <v>46053</v>
      </c>
      <c r="AM7" s="17">
        <f t="shared" ca="1" si="0"/>
        <v>46054</v>
      </c>
      <c r="AN7" s="17">
        <f t="shared" ca="1" si="0"/>
        <v>46055</v>
      </c>
      <c r="AO7" s="17">
        <f t="shared" ca="1" si="0"/>
        <v>46056</v>
      </c>
      <c r="AP7" s="17">
        <f t="shared" ca="1" si="0"/>
        <v>46057</v>
      </c>
      <c r="AQ7" s="62">
        <f t="shared" ca="1" si="0"/>
        <v>46058</v>
      </c>
      <c r="AR7" s="17">
        <f ca="1">AQ7+1</f>
        <v>46059</v>
      </c>
      <c r="AS7" s="17">
        <f ca="1">AR7+1</f>
        <v>46060</v>
      </c>
      <c r="AT7" s="17">
        <f t="shared" ca="1" si="0"/>
        <v>46061</v>
      </c>
      <c r="AU7" s="17">
        <f t="shared" ca="1" si="0"/>
        <v>46062</v>
      </c>
      <c r="AV7" s="17">
        <f t="shared" ca="1" si="0"/>
        <v>46063</v>
      </c>
      <c r="AW7" s="17">
        <f t="shared" ca="1" si="0"/>
        <v>46064</v>
      </c>
      <c r="AX7" s="62">
        <f t="shared" ca="1" si="0"/>
        <v>46065</v>
      </c>
      <c r="AY7" s="17">
        <f ca="1">AX7+1</f>
        <v>46066</v>
      </c>
      <c r="AZ7" s="17">
        <f ca="1">AY7+1</f>
        <v>46067</v>
      </c>
      <c r="BA7" s="17">
        <f t="shared" ref="BA7:BE7" ca="1" si="1">AZ7+1</f>
        <v>46068</v>
      </c>
      <c r="BB7" s="17">
        <f t="shared" ca="1" si="1"/>
        <v>46069</v>
      </c>
      <c r="BC7" s="17">
        <f t="shared" ca="1" si="1"/>
        <v>46070</v>
      </c>
      <c r="BD7" s="17">
        <f t="shared" ca="1" si="1"/>
        <v>46071</v>
      </c>
      <c r="BE7" s="62">
        <f t="shared" ca="1" si="1"/>
        <v>46072</v>
      </c>
      <c r="BF7" s="17">
        <f ca="1">BE7+1</f>
        <v>46073</v>
      </c>
      <c r="BG7" s="17">
        <f ca="1">BF7+1</f>
        <v>46074</v>
      </c>
      <c r="BH7" s="17">
        <f t="shared" ref="BH7:BL7" ca="1" si="2">BG7+1</f>
        <v>46075</v>
      </c>
      <c r="BI7" s="17">
        <f t="shared" ca="1" si="2"/>
        <v>46076</v>
      </c>
      <c r="BJ7" s="17">
        <f t="shared" ca="1" si="2"/>
        <v>46077</v>
      </c>
      <c r="BK7" s="17">
        <f t="shared" ca="1" si="2"/>
        <v>46078</v>
      </c>
      <c r="BL7" s="18">
        <f t="shared" ca="1" si="2"/>
        <v>46079</v>
      </c>
      <c r="BM7" s="30"/>
    </row>
    <row r="8" spans="1:68" ht="19.899999999999999" customHeight="1">
      <c r="A8" s="10"/>
      <c r="B8" s="49"/>
      <c r="C8" s="49"/>
      <c r="D8" s="49"/>
      <c r="E8" s="27"/>
      <c r="F8" s="27"/>
      <c r="G8" s="27"/>
      <c r="H8" s="27"/>
      <c r="I8" s="38"/>
      <c r="J8" s="36"/>
      <c r="K8" s="36"/>
      <c r="L8" s="36"/>
      <c r="M8" s="36"/>
      <c r="N8" s="36"/>
      <c r="O8" s="36"/>
      <c r="P8" s="38"/>
      <c r="Q8" s="36"/>
      <c r="R8" s="36"/>
      <c r="S8" s="36"/>
      <c r="T8" s="36"/>
      <c r="U8" s="36"/>
      <c r="V8" s="36"/>
      <c r="W8" s="38"/>
      <c r="X8" s="36"/>
      <c r="Y8" s="36"/>
      <c r="Z8" s="36"/>
      <c r="AA8" s="36"/>
      <c r="AB8" s="36"/>
      <c r="AC8" s="36"/>
      <c r="AD8" s="38"/>
      <c r="AE8" s="36"/>
      <c r="AF8" s="36"/>
      <c r="AG8" s="36"/>
      <c r="AH8" s="36"/>
      <c r="AI8" s="36"/>
      <c r="AJ8" s="36"/>
      <c r="AK8" s="38"/>
      <c r="AL8" s="36"/>
      <c r="AM8" s="36"/>
      <c r="AN8" s="36"/>
      <c r="AO8" s="36"/>
      <c r="AP8" s="36"/>
      <c r="AQ8" s="36"/>
      <c r="AR8" s="38"/>
      <c r="AS8" s="36"/>
      <c r="AT8" s="36"/>
      <c r="AU8" s="36"/>
      <c r="AV8" s="36"/>
      <c r="AW8" s="36"/>
      <c r="AX8" s="36"/>
      <c r="AY8" s="38"/>
      <c r="AZ8" s="36"/>
      <c r="BA8" s="36"/>
      <c r="BB8" s="36"/>
      <c r="BC8" s="36"/>
      <c r="BD8" s="36"/>
      <c r="BE8" s="36"/>
      <c r="BF8" s="38"/>
      <c r="BG8" s="36"/>
      <c r="BH8" s="36"/>
      <c r="BI8" s="36"/>
      <c r="BJ8" s="36"/>
      <c r="BK8" s="36"/>
      <c r="BL8" s="37"/>
      <c r="BM8" s="30"/>
    </row>
    <row r="9" spans="1:68" ht="40.15" customHeight="1">
      <c r="A9" s="10" t="s">
        <v>35</v>
      </c>
      <c r="B9" s="116" t="s">
        <v>8</v>
      </c>
      <c r="C9" s="117" t="s">
        <v>19</v>
      </c>
      <c r="D9" s="117" t="s">
        <v>52</v>
      </c>
      <c r="E9" s="117" t="s">
        <v>28</v>
      </c>
      <c r="F9" s="117" t="s">
        <v>29</v>
      </c>
      <c r="G9" s="117" t="s">
        <v>31</v>
      </c>
      <c r="H9" s="46"/>
      <c r="I9" s="35" t="str">
        <f t="shared" ref="I9:AN9" ca="1" si="3">LEFT(TEXT(I7,"TTT"),1)</f>
        <v>F</v>
      </c>
      <c r="J9" s="35" t="str">
        <f t="shared" ca="1" si="3"/>
        <v>S</v>
      </c>
      <c r="K9" s="35" t="str">
        <f t="shared" ca="1" si="3"/>
        <v>S</v>
      </c>
      <c r="L9" s="35" t="str">
        <f t="shared" ca="1" si="3"/>
        <v>M</v>
      </c>
      <c r="M9" s="35" t="str">
        <f t="shared" ca="1" si="3"/>
        <v>D</v>
      </c>
      <c r="N9" s="35" t="str">
        <f t="shared" ca="1" si="3"/>
        <v>M</v>
      </c>
      <c r="O9" s="35" t="str">
        <f t="shared" ca="1" si="3"/>
        <v>D</v>
      </c>
      <c r="P9" s="35" t="str">
        <f t="shared" ca="1" si="3"/>
        <v>F</v>
      </c>
      <c r="Q9" s="35" t="str">
        <f t="shared" ca="1" si="3"/>
        <v>S</v>
      </c>
      <c r="R9" s="35" t="str">
        <f t="shared" ca="1" si="3"/>
        <v>S</v>
      </c>
      <c r="S9" s="35" t="str">
        <f t="shared" ca="1" si="3"/>
        <v>M</v>
      </c>
      <c r="T9" s="35" t="str">
        <f t="shared" ca="1" si="3"/>
        <v>D</v>
      </c>
      <c r="U9" s="35" t="str">
        <f t="shared" ca="1" si="3"/>
        <v>M</v>
      </c>
      <c r="V9" s="35" t="str">
        <f t="shared" ca="1" si="3"/>
        <v>D</v>
      </c>
      <c r="W9" s="35" t="str">
        <f t="shared" ca="1" si="3"/>
        <v>F</v>
      </c>
      <c r="X9" s="35" t="str">
        <f t="shared" ca="1" si="3"/>
        <v>S</v>
      </c>
      <c r="Y9" s="35" t="str">
        <f t="shared" ca="1" si="3"/>
        <v>S</v>
      </c>
      <c r="Z9" s="35" t="str">
        <f t="shared" ca="1" si="3"/>
        <v>M</v>
      </c>
      <c r="AA9" s="35" t="str">
        <f t="shared" ca="1" si="3"/>
        <v>D</v>
      </c>
      <c r="AB9" s="35" t="str">
        <f t="shared" ca="1" si="3"/>
        <v>M</v>
      </c>
      <c r="AC9" s="35" t="str">
        <f t="shared" ca="1" si="3"/>
        <v>D</v>
      </c>
      <c r="AD9" s="35" t="str">
        <f t="shared" ca="1" si="3"/>
        <v>F</v>
      </c>
      <c r="AE9" s="35" t="str">
        <f t="shared" ca="1" si="3"/>
        <v>S</v>
      </c>
      <c r="AF9" s="35" t="str">
        <f t="shared" ca="1" si="3"/>
        <v>S</v>
      </c>
      <c r="AG9" s="35" t="str">
        <f t="shared" ca="1" si="3"/>
        <v>M</v>
      </c>
      <c r="AH9" s="35" t="str">
        <f t="shared" ca="1" si="3"/>
        <v>D</v>
      </c>
      <c r="AI9" s="35" t="str">
        <f t="shared" ca="1" si="3"/>
        <v>M</v>
      </c>
      <c r="AJ9" s="35" t="str">
        <f t="shared" ca="1" si="3"/>
        <v>D</v>
      </c>
      <c r="AK9" s="35" t="str">
        <f t="shared" ca="1" si="3"/>
        <v>F</v>
      </c>
      <c r="AL9" s="35" t="str">
        <f t="shared" ca="1" si="3"/>
        <v>S</v>
      </c>
      <c r="AM9" s="35" t="str">
        <f t="shared" ca="1" si="3"/>
        <v>S</v>
      </c>
      <c r="AN9" s="35" t="str">
        <f t="shared" ca="1" si="3"/>
        <v>M</v>
      </c>
      <c r="AO9" s="35" t="str">
        <f t="shared" ref="AO9:BL9" ca="1" si="4">LEFT(TEXT(AO7,"TTT"),1)</f>
        <v>D</v>
      </c>
      <c r="AP9" s="35" t="str">
        <f t="shared" ca="1" si="4"/>
        <v>M</v>
      </c>
      <c r="AQ9" s="35" t="str">
        <f t="shared" ca="1" si="4"/>
        <v>D</v>
      </c>
      <c r="AR9" s="35" t="str">
        <f t="shared" ca="1" si="4"/>
        <v>F</v>
      </c>
      <c r="AS9" s="35" t="str">
        <f t="shared" ca="1" si="4"/>
        <v>S</v>
      </c>
      <c r="AT9" s="35" t="str">
        <f t="shared" ca="1" si="4"/>
        <v>S</v>
      </c>
      <c r="AU9" s="35" t="str">
        <f t="shared" ca="1" si="4"/>
        <v>M</v>
      </c>
      <c r="AV9" s="35" t="str">
        <f t="shared" ca="1" si="4"/>
        <v>D</v>
      </c>
      <c r="AW9" s="35" t="str">
        <f t="shared" ca="1" si="4"/>
        <v>M</v>
      </c>
      <c r="AX9" s="35" t="str">
        <f t="shared" ca="1" si="4"/>
        <v>D</v>
      </c>
      <c r="AY9" s="35" t="str">
        <f t="shared" ca="1" si="4"/>
        <v>F</v>
      </c>
      <c r="AZ9" s="35" t="str">
        <f t="shared" ca="1" si="4"/>
        <v>S</v>
      </c>
      <c r="BA9" s="35" t="str">
        <f t="shared" ca="1" si="4"/>
        <v>S</v>
      </c>
      <c r="BB9" s="35" t="str">
        <f t="shared" ca="1" si="4"/>
        <v>M</v>
      </c>
      <c r="BC9" s="35" t="str">
        <f t="shared" ca="1" si="4"/>
        <v>D</v>
      </c>
      <c r="BD9" s="35" t="str">
        <f t="shared" ca="1" si="4"/>
        <v>M</v>
      </c>
      <c r="BE9" s="35" t="str">
        <f t="shared" ca="1" si="4"/>
        <v>D</v>
      </c>
      <c r="BF9" s="35" t="str">
        <f t="shared" ca="1" si="4"/>
        <v>F</v>
      </c>
      <c r="BG9" s="35" t="str">
        <f t="shared" ca="1" si="4"/>
        <v>S</v>
      </c>
      <c r="BH9" s="35" t="str">
        <f t="shared" ca="1" si="4"/>
        <v>S</v>
      </c>
      <c r="BI9" s="35" t="str">
        <f t="shared" ca="1" si="4"/>
        <v>M</v>
      </c>
      <c r="BJ9" s="35" t="str">
        <f t="shared" ca="1" si="4"/>
        <v>D</v>
      </c>
      <c r="BK9" s="35" t="str">
        <f t="shared" ca="1" si="4"/>
        <v>M</v>
      </c>
      <c r="BL9" s="35" t="str">
        <f t="shared" ca="1" si="4"/>
        <v>D</v>
      </c>
      <c r="BM9" s="30"/>
    </row>
    <row r="10" spans="1:68" ht="30" hidden="1" customHeight="1">
      <c r="B10" s="16"/>
      <c r="C10" s="13"/>
      <c r="D10" s="12"/>
      <c r="E10" s="13"/>
      <c r="F10" s="14"/>
      <c r="G10" s="15"/>
      <c r="H10" s="30"/>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0"/>
    </row>
    <row r="11" spans="1:68" s="1" customFormat="1" ht="40.15" customHeight="1">
      <c r="A11" s="10"/>
      <c r="B11" s="120" t="s">
        <v>38</v>
      </c>
      <c r="C11" s="21"/>
      <c r="D11" s="21"/>
      <c r="E11" s="22"/>
      <c r="F11" s="23"/>
      <c r="G11" s="24"/>
      <c r="H11" s="19"/>
      <c r="I11" s="45" t="str">
        <f t="shared" ref="I11:X25" ca="1" si="5">IF(AND($C11="Ziel",I$7&gt;=$F11,I$7&lt;=$F11+$G11-1),2,IF(AND($C11="Meilenstein",I$7&gt;=$F11,I$7&lt;=$F11+$G11-1),1,""))</f>
        <v/>
      </c>
      <c r="J11" s="45" t="str">
        <f t="shared" ca="1" si="5"/>
        <v/>
      </c>
      <c r="K11" s="45" t="str">
        <f t="shared" ca="1" si="5"/>
        <v/>
      </c>
      <c r="L11" s="45" t="str">
        <f t="shared" ca="1" si="5"/>
        <v/>
      </c>
      <c r="M11" s="45" t="str">
        <f t="shared" ca="1" si="5"/>
        <v/>
      </c>
      <c r="N11" s="45" t="str">
        <f t="shared" ca="1" si="5"/>
        <v/>
      </c>
      <c r="O11" s="45" t="str">
        <f t="shared" ca="1" si="5"/>
        <v/>
      </c>
      <c r="P11" s="45" t="str">
        <f t="shared" ca="1" si="5"/>
        <v/>
      </c>
      <c r="Q11" s="45" t="str">
        <f t="shared" ca="1" si="5"/>
        <v/>
      </c>
      <c r="R11" s="45" t="str">
        <f t="shared" ca="1" si="5"/>
        <v/>
      </c>
      <c r="S11" s="45" t="str">
        <f t="shared" ca="1" si="5"/>
        <v/>
      </c>
      <c r="T11" s="45" t="str">
        <f t="shared" ca="1" si="5"/>
        <v/>
      </c>
      <c r="U11" s="45" t="str">
        <f t="shared" ca="1" si="5"/>
        <v/>
      </c>
      <c r="V11" s="45" t="str">
        <f t="shared" ca="1" si="5"/>
        <v/>
      </c>
      <c r="W11" s="45" t="str">
        <f t="shared" ca="1" si="5"/>
        <v/>
      </c>
      <c r="X11" s="45" t="str">
        <f t="shared" ca="1" si="5"/>
        <v/>
      </c>
      <c r="Y11" s="45" t="str">
        <f t="shared" ref="Y11:BM17" ca="1" si="6">IF(AND($C11="Ziel",Y$7&gt;=$F11,Y$7&lt;=$F11+$G11-1),2,IF(AND($C11="Meilenstein",Y$7&gt;=$F11,Y$7&lt;=$F11+$G11-1),1,""))</f>
        <v/>
      </c>
      <c r="Z11" s="45" t="str">
        <f t="shared" ca="1" si="6"/>
        <v/>
      </c>
      <c r="AA11" s="45" t="str">
        <f t="shared" ca="1" si="6"/>
        <v/>
      </c>
      <c r="AB11" s="45" t="str">
        <f t="shared" ca="1" si="6"/>
        <v/>
      </c>
      <c r="AC11" s="45" t="str">
        <f t="shared" ca="1" si="6"/>
        <v/>
      </c>
      <c r="AD11" s="45" t="str">
        <f t="shared" ca="1" si="6"/>
        <v/>
      </c>
      <c r="AE11" s="45" t="str">
        <f t="shared" ca="1" si="6"/>
        <v/>
      </c>
      <c r="AF11" s="45" t="str">
        <f t="shared" ca="1" si="6"/>
        <v/>
      </c>
      <c r="AG11" s="45" t="str">
        <f t="shared" ca="1" si="6"/>
        <v/>
      </c>
      <c r="AH11" s="45" t="str">
        <f t="shared" ca="1" si="6"/>
        <v/>
      </c>
      <c r="AI11" s="45" t="str">
        <f t="shared" ca="1" si="6"/>
        <v/>
      </c>
      <c r="AJ11" s="45" t="str">
        <f t="shared" ca="1" si="6"/>
        <v/>
      </c>
      <c r="AK11" s="45" t="str">
        <f t="shared" ca="1" si="6"/>
        <v/>
      </c>
      <c r="AL11" s="45" t="str">
        <f t="shared" ca="1" si="6"/>
        <v/>
      </c>
      <c r="AM11" s="45" t="str">
        <f t="shared" ca="1" si="6"/>
        <v/>
      </c>
      <c r="AN11" s="45" t="str">
        <f t="shared" ca="1" si="6"/>
        <v/>
      </c>
      <c r="AO11" s="45" t="str">
        <f t="shared" ca="1" si="6"/>
        <v/>
      </c>
      <c r="AP11" s="45" t="str">
        <f t="shared" ca="1" si="6"/>
        <v/>
      </c>
      <c r="AQ11" s="45" t="str">
        <f t="shared" ca="1" si="6"/>
        <v/>
      </c>
      <c r="AR11" s="45" t="str">
        <f t="shared" ca="1" si="6"/>
        <v/>
      </c>
      <c r="AS11" s="45" t="str">
        <f t="shared" ca="1" si="6"/>
        <v/>
      </c>
      <c r="AT11" s="45" t="str">
        <f t="shared" ca="1" si="6"/>
        <v/>
      </c>
      <c r="AU11" s="45" t="str">
        <f t="shared" ca="1" si="6"/>
        <v/>
      </c>
      <c r="AV11" s="45" t="str">
        <f t="shared" ca="1" si="6"/>
        <v/>
      </c>
      <c r="AW11" s="45" t="str">
        <f t="shared" ca="1" si="6"/>
        <v/>
      </c>
      <c r="AX11" s="45" t="str">
        <f t="shared" ca="1" si="6"/>
        <v/>
      </c>
      <c r="AY11" s="45" t="str">
        <f t="shared" ca="1" si="6"/>
        <v/>
      </c>
      <c r="AZ11" s="45" t="str">
        <f t="shared" ca="1" si="6"/>
        <v/>
      </c>
      <c r="BA11" s="45" t="str">
        <f t="shared" ca="1" si="6"/>
        <v/>
      </c>
      <c r="BB11" s="45" t="str">
        <f t="shared" ca="1" si="6"/>
        <v/>
      </c>
      <c r="BC11" s="45" t="str">
        <f t="shared" ca="1" si="6"/>
        <v/>
      </c>
      <c r="BD11" s="45" t="str">
        <f t="shared" ca="1" si="6"/>
        <v/>
      </c>
      <c r="BE11" s="45" t="str">
        <f t="shared" ca="1" si="6"/>
        <v/>
      </c>
      <c r="BF11" s="45" t="str">
        <f t="shared" ca="1" si="6"/>
        <v/>
      </c>
      <c r="BG11" s="45" t="str">
        <f t="shared" ca="1" si="6"/>
        <v/>
      </c>
      <c r="BH11" s="45" t="str">
        <f t="shared" ca="1" si="6"/>
        <v/>
      </c>
      <c r="BI11" s="45" t="str">
        <f t="shared" ca="1" si="6"/>
        <v/>
      </c>
      <c r="BJ11" s="45" t="str">
        <f t="shared" ca="1" si="6"/>
        <v/>
      </c>
      <c r="BK11" s="45" t="str">
        <f t="shared" ca="1" si="6"/>
        <v/>
      </c>
      <c r="BL11" s="45" t="str">
        <f t="shared" ca="1" si="6"/>
        <v/>
      </c>
      <c r="BM11" s="45" t="str">
        <f t="shared" si="6"/>
        <v/>
      </c>
      <c r="BP11" s="39"/>
    </row>
    <row r="12" spans="1:68" s="1" customFormat="1" ht="40.15" customHeight="1">
      <c r="A12" s="10"/>
      <c r="B12" s="121" t="s">
        <v>53</v>
      </c>
      <c r="C12" s="21" t="s">
        <v>41</v>
      </c>
      <c r="D12" s="21"/>
      <c r="E12" s="22"/>
      <c r="F12" s="23">
        <v>46028</v>
      </c>
      <c r="G12" s="24">
        <v>1</v>
      </c>
      <c r="H12" s="19"/>
      <c r="I12" s="45" t="str">
        <f t="shared" ca="1" si="5"/>
        <v/>
      </c>
      <c r="J12" s="45" t="str">
        <f t="shared" ca="1" si="5"/>
        <v/>
      </c>
      <c r="K12" s="45" t="str">
        <f t="shared" ca="1" si="5"/>
        <v/>
      </c>
      <c r="L12" s="45" t="str">
        <f t="shared" ca="1" si="5"/>
        <v/>
      </c>
      <c r="M12" s="45" t="str">
        <f t="shared" ca="1" si="5"/>
        <v/>
      </c>
      <c r="N12" s="45" t="str">
        <f t="shared" ca="1" si="5"/>
        <v/>
      </c>
      <c r="O12" s="45" t="str">
        <f t="shared" ca="1" si="5"/>
        <v/>
      </c>
      <c r="P12" s="45" t="str">
        <f t="shared" ca="1" si="5"/>
        <v/>
      </c>
      <c r="Q12" s="45" t="str">
        <f t="shared" ca="1" si="5"/>
        <v/>
      </c>
      <c r="R12" s="45" t="str">
        <f t="shared" ca="1" si="5"/>
        <v/>
      </c>
      <c r="S12" s="45" t="str">
        <f t="shared" ca="1" si="5"/>
        <v/>
      </c>
      <c r="T12" s="45" t="str">
        <f t="shared" ca="1" si="5"/>
        <v/>
      </c>
      <c r="U12" s="45" t="str">
        <f t="shared" ca="1" si="5"/>
        <v/>
      </c>
      <c r="V12" s="45" t="str">
        <f t="shared" ca="1" si="5"/>
        <v/>
      </c>
      <c r="W12" s="45" t="str">
        <f t="shared" ca="1" si="5"/>
        <v/>
      </c>
      <c r="X12" s="45" t="str">
        <f t="shared" ca="1" si="5"/>
        <v/>
      </c>
      <c r="Y12" s="45" t="str">
        <f t="shared" ca="1" si="6"/>
        <v/>
      </c>
      <c r="Z12" s="45" t="str">
        <f t="shared" ca="1" si="6"/>
        <v/>
      </c>
      <c r="AA12" s="45" t="str">
        <f t="shared" ca="1" si="6"/>
        <v/>
      </c>
      <c r="AB12" s="45" t="str">
        <f t="shared" ca="1" si="6"/>
        <v/>
      </c>
      <c r="AC12" s="45" t="str">
        <f t="shared" ca="1" si="6"/>
        <v/>
      </c>
      <c r="AD12" s="45" t="str">
        <f t="shared" ca="1" si="6"/>
        <v/>
      </c>
      <c r="AE12" s="45" t="str">
        <f t="shared" ca="1" si="6"/>
        <v/>
      </c>
      <c r="AF12" s="45" t="str">
        <f t="shared" ca="1" si="6"/>
        <v/>
      </c>
      <c r="AG12" s="45" t="str">
        <f t="shared" ca="1" si="6"/>
        <v/>
      </c>
      <c r="AH12" s="45" t="str">
        <f t="shared" ca="1" si="6"/>
        <v/>
      </c>
      <c r="AI12" s="45" t="str">
        <f t="shared" ca="1" si="6"/>
        <v/>
      </c>
      <c r="AJ12" s="45" t="str">
        <f t="shared" ca="1" si="6"/>
        <v/>
      </c>
      <c r="AK12" s="45" t="str">
        <f t="shared" ca="1" si="6"/>
        <v/>
      </c>
      <c r="AL12" s="45" t="str">
        <f t="shared" ca="1" si="6"/>
        <v/>
      </c>
      <c r="AM12" s="45" t="str">
        <f t="shared" ca="1" si="6"/>
        <v/>
      </c>
      <c r="AN12" s="45" t="str">
        <f t="shared" ca="1" si="6"/>
        <v/>
      </c>
      <c r="AO12" s="45" t="str">
        <f t="shared" ca="1" si="6"/>
        <v/>
      </c>
      <c r="AP12" s="45" t="str">
        <f t="shared" ca="1" si="6"/>
        <v/>
      </c>
      <c r="AQ12" s="45" t="str">
        <f t="shared" ca="1" si="6"/>
        <v/>
      </c>
      <c r="AR12" s="45" t="str">
        <f t="shared" ca="1" si="6"/>
        <v/>
      </c>
      <c r="AS12" s="45" t="str">
        <f t="shared" ca="1" si="6"/>
        <v/>
      </c>
      <c r="AT12" s="45" t="str">
        <f t="shared" ca="1" si="6"/>
        <v/>
      </c>
      <c r="AU12" s="45" t="str">
        <f t="shared" ca="1" si="6"/>
        <v/>
      </c>
      <c r="AV12" s="45" t="str">
        <f t="shared" ca="1" si="6"/>
        <v/>
      </c>
      <c r="AW12" s="45" t="str">
        <f t="shared" ca="1" si="6"/>
        <v/>
      </c>
      <c r="AX12" s="45" t="str">
        <f t="shared" ca="1" si="6"/>
        <v/>
      </c>
      <c r="AY12" s="45" t="str">
        <f t="shared" ca="1" si="6"/>
        <v/>
      </c>
      <c r="AZ12" s="45" t="str">
        <f t="shared" ca="1" si="6"/>
        <v/>
      </c>
      <c r="BA12" s="45" t="str">
        <f t="shared" ca="1" si="6"/>
        <v/>
      </c>
      <c r="BB12" s="45" t="str">
        <f t="shared" ca="1" si="6"/>
        <v/>
      </c>
      <c r="BC12" s="45" t="str">
        <f t="shared" ca="1" si="6"/>
        <v/>
      </c>
      <c r="BD12" s="45" t="str">
        <f t="shared" ca="1" si="6"/>
        <v/>
      </c>
      <c r="BE12" s="45" t="str">
        <f t="shared" ca="1" si="6"/>
        <v/>
      </c>
      <c r="BF12" s="45" t="str">
        <f t="shared" ca="1" si="6"/>
        <v/>
      </c>
      <c r="BG12" s="45" t="str">
        <f t="shared" ca="1" si="6"/>
        <v/>
      </c>
      <c r="BH12" s="45" t="str">
        <f t="shared" ca="1" si="6"/>
        <v/>
      </c>
      <c r="BI12" s="45" t="str">
        <f t="shared" ca="1" si="6"/>
        <v/>
      </c>
      <c r="BJ12" s="45" t="str">
        <f t="shared" ca="1" si="6"/>
        <v/>
      </c>
      <c r="BK12" s="45" t="str">
        <f t="shared" ca="1" si="6"/>
        <v/>
      </c>
      <c r="BL12" s="45" t="str">
        <f t="shared" ca="1" si="6"/>
        <v/>
      </c>
      <c r="BM12" s="45" t="str">
        <f t="shared" si="6"/>
        <v/>
      </c>
    </row>
    <row r="13" spans="1:68" s="1" customFormat="1" ht="40.15" customHeight="1">
      <c r="A13" s="10"/>
      <c r="B13" s="121"/>
      <c r="C13" s="21" t="s">
        <v>42</v>
      </c>
      <c r="D13" s="21"/>
      <c r="E13" s="22"/>
      <c r="F13" s="23">
        <v>46028</v>
      </c>
      <c r="G13" s="24">
        <v>1</v>
      </c>
      <c r="H13" s="19"/>
      <c r="I13" s="45" t="str">
        <f t="shared" ca="1" si="5"/>
        <v/>
      </c>
      <c r="J13" s="45" t="str">
        <f t="shared" ca="1" si="5"/>
        <v/>
      </c>
      <c r="K13" s="45" t="str">
        <f t="shared" ca="1" si="5"/>
        <v/>
      </c>
      <c r="L13" s="45" t="str">
        <f t="shared" ca="1" si="5"/>
        <v/>
      </c>
      <c r="M13" s="45" t="str">
        <f t="shared" ca="1" si="5"/>
        <v/>
      </c>
      <c r="N13" s="45" t="str">
        <f t="shared" ca="1" si="5"/>
        <v/>
      </c>
      <c r="O13" s="45" t="str">
        <f t="shared" ca="1" si="5"/>
        <v/>
      </c>
      <c r="P13" s="45" t="str">
        <f t="shared" ca="1" si="5"/>
        <v/>
      </c>
      <c r="Q13" s="45" t="str">
        <f t="shared" ca="1" si="5"/>
        <v/>
      </c>
      <c r="R13" s="45" t="str">
        <f t="shared" ca="1" si="5"/>
        <v/>
      </c>
      <c r="S13" s="45" t="str">
        <f t="shared" ca="1" si="5"/>
        <v/>
      </c>
      <c r="T13" s="45" t="str">
        <f t="shared" ca="1" si="5"/>
        <v/>
      </c>
      <c r="U13" s="45" t="str">
        <f t="shared" ca="1" si="5"/>
        <v/>
      </c>
      <c r="V13" s="45" t="str">
        <f t="shared" ca="1" si="5"/>
        <v/>
      </c>
      <c r="W13" s="45" t="str">
        <f t="shared" ca="1" si="5"/>
        <v/>
      </c>
      <c r="X13" s="45" t="str">
        <f t="shared" ca="1" si="5"/>
        <v/>
      </c>
      <c r="Y13" s="45" t="str">
        <f t="shared" ca="1" si="6"/>
        <v/>
      </c>
      <c r="Z13" s="45" t="str">
        <f t="shared" ca="1" si="6"/>
        <v/>
      </c>
      <c r="AA13" s="45" t="str">
        <f t="shared" ca="1" si="6"/>
        <v/>
      </c>
      <c r="AB13" s="45" t="str">
        <f t="shared" ca="1" si="6"/>
        <v/>
      </c>
      <c r="AC13" s="45" t="str">
        <f t="shared" ca="1" si="6"/>
        <v/>
      </c>
      <c r="AD13" s="45" t="str">
        <f t="shared" ca="1" si="6"/>
        <v/>
      </c>
      <c r="AE13" s="45" t="str">
        <f t="shared" ca="1" si="6"/>
        <v/>
      </c>
      <c r="AF13" s="45" t="str">
        <f t="shared" ca="1" si="6"/>
        <v/>
      </c>
      <c r="AG13" s="45" t="str">
        <f t="shared" ca="1" si="6"/>
        <v/>
      </c>
      <c r="AH13" s="45" t="str">
        <f t="shared" ca="1" si="6"/>
        <v/>
      </c>
      <c r="AI13" s="45" t="str">
        <f t="shared" ca="1" si="6"/>
        <v/>
      </c>
      <c r="AJ13" s="45" t="str">
        <f t="shared" ca="1" si="6"/>
        <v/>
      </c>
      <c r="AK13" s="45" t="str">
        <f t="shared" ca="1" si="6"/>
        <v/>
      </c>
      <c r="AL13" s="45" t="str">
        <f t="shared" ca="1" si="6"/>
        <v/>
      </c>
      <c r="AM13" s="45" t="str">
        <f t="shared" ca="1" si="6"/>
        <v/>
      </c>
      <c r="AN13" s="45" t="str">
        <f t="shared" ca="1" si="6"/>
        <v/>
      </c>
      <c r="AO13" s="45" t="str">
        <f t="shared" ca="1" si="6"/>
        <v/>
      </c>
      <c r="AP13" s="45" t="str">
        <f t="shared" ca="1" si="6"/>
        <v/>
      </c>
      <c r="AQ13" s="45" t="str">
        <f t="shared" ca="1" si="6"/>
        <v/>
      </c>
      <c r="AR13" s="45" t="str">
        <f t="shared" ca="1" si="6"/>
        <v/>
      </c>
      <c r="AS13" s="45" t="str">
        <f t="shared" ca="1" si="6"/>
        <v/>
      </c>
      <c r="AT13" s="45" t="str">
        <f t="shared" ca="1" si="6"/>
        <v/>
      </c>
      <c r="AU13" s="45" t="str">
        <f t="shared" ca="1" si="6"/>
        <v/>
      </c>
      <c r="AV13" s="45" t="str">
        <f t="shared" ca="1" si="6"/>
        <v/>
      </c>
      <c r="AW13" s="45" t="str">
        <f t="shared" ca="1" si="6"/>
        <v/>
      </c>
      <c r="AX13" s="45" t="str">
        <f t="shared" ca="1" si="6"/>
        <v/>
      </c>
      <c r="AY13" s="45" t="str">
        <f t="shared" ca="1" si="6"/>
        <v/>
      </c>
      <c r="AZ13" s="45" t="str">
        <f t="shared" ca="1" si="6"/>
        <v/>
      </c>
      <c r="BA13" s="45" t="str">
        <f t="shared" ca="1" si="6"/>
        <v/>
      </c>
      <c r="BB13" s="45" t="str">
        <f t="shared" ca="1" si="6"/>
        <v/>
      </c>
      <c r="BC13" s="45" t="str">
        <f t="shared" ca="1" si="6"/>
        <v/>
      </c>
      <c r="BD13" s="45" t="str">
        <f t="shared" ca="1" si="6"/>
        <v/>
      </c>
      <c r="BE13" s="45" t="str">
        <f t="shared" ca="1" si="6"/>
        <v/>
      </c>
      <c r="BF13" s="45" t="str">
        <f t="shared" ca="1" si="6"/>
        <v/>
      </c>
      <c r="BG13" s="45" t="str">
        <f t="shared" ca="1" si="6"/>
        <v/>
      </c>
      <c r="BH13" s="45" t="str">
        <f t="shared" ca="1" si="6"/>
        <v/>
      </c>
      <c r="BI13" s="45" t="str">
        <f t="shared" ca="1" si="6"/>
        <v/>
      </c>
      <c r="BJ13" s="45" t="str">
        <f t="shared" ca="1" si="6"/>
        <v/>
      </c>
      <c r="BK13" s="45" t="str">
        <f t="shared" ca="1" si="6"/>
        <v/>
      </c>
      <c r="BL13" s="45" t="str">
        <f t="shared" ca="1" si="6"/>
        <v/>
      </c>
      <c r="BM13" s="45" t="str">
        <f t="shared" si="6"/>
        <v/>
      </c>
    </row>
    <row r="14" spans="1:68" s="1" customFormat="1" ht="40.15" customHeight="1">
      <c r="A14" s="9"/>
      <c r="B14" s="121" t="s">
        <v>54</v>
      </c>
      <c r="C14" s="21" t="s">
        <v>41</v>
      </c>
      <c r="D14" s="21"/>
      <c r="E14" s="22"/>
      <c r="F14" s="23">
        <v>46030</v>
      </c>
      <c r="G14" s="24">
        <v>1</v>
      </c>
      <c r="H14" s="19"/>
      <c r="I14" s="45" t="str">
        <f t="shared" ca="1" si="5"/>
        <v/>
      </c>
      <c r="J14" s="45" t="str">
        <f t="shared" ca="1" si="5"/>
        <v/>
      </c>
      <c r="K14" s="45" t="str">
        <f t="shared" ca="1" si="5"/>
        <v/>
      </c>
      <c r="L14" s="45" t="str">
        <f t="shared" ca="1" si="5"/>
        <v/>
      </c>
      <c r="M14" s="45" t="str">
        <f t="shared" ca="1" si="5"/>
        <v/>
      </c>
      <c r="N14" s="45" t="str">
        <f t="shared" ca="1" si="5"/>
        <v/>
      </c>
      <c r="O14" s="45" t="str">
        <f t="shared" ca="1" si="5"/>
        <v/>
      </c>
      <c r="P14" s="45" t="str">
        <f t="shared" ca="1" si="5"/>
        <v/>
      </c>
      <c r="Q14" s="45" t="str">
        <f t="shared" ca="1" si="5"/>
        <v/>
      </c>
      <c r="R14" s="45" t="str">
        <f t="shared" ca="1" si="5"/>
        <v/>
      </c>
      <c r="S14" s="45" t="str">
        <f t="shared" ca="1" si="5"/>
        <v/>
      </c>
      <c r="T14" s="45" t="str">
        <f t="shared" ca="1" si="5"/>
        <v/>
      </c>
      <c r="U14" s="45" t="str">
        <f t="shared" ca="1" si="5"/>
        <v/>
      </c>
      <c r="V14" s="45" t="str">
        <f t="shared" ca="1" si="5"/>
        <v/>
      </c>
      <c r="W14" s="45" t="str">
        <f t="shared" ca="1" si="5"/>
        <v/>
      </c>
      <c r="X14" s="45" t="str">
        <f t="shared" ca="1" si="5"/>
        <v/>
      </c>
      <c r="Y14" s="45" t="str">
        <f t="shared" ca="1" si="6"/>
        <v/>
      </c>
      <c r="Z14" s="45" t="str">
        <f t="shared" ca="1" si="6"/>
        <v/>
      </c>
      <c r="AA14" s="45" t="str">
        <f t="shared" ca="1" si="6"/>
        <v/>
      </c>
      <c r="AB14" s="45" t="str">
        <f t="shared" ca="1" si="6"/>
        <v/>
      </c>
      <c r="AC14" s="45" t="str">
        <f t="shared" ca="1" si="6"/>
        <v/>
      </c>
      <c r="AD14" s="45" t="str">
        <f t="shared" ca="1" si="6"/>
        <v/>
      </c>
      <c r="AE14" s="45" t="str">
        <f t="shared" ca="1" si="6"/>
        <v/>
      </c>
      <c r="AF14" s="45" t="str">
        <f t="shared" ca="1" si="6"/>
        <v/>
      </c>
      <c r="AG14" s="45" t="str">
        <f t="shared" ca="1" si="6"/>
        <v/>
      </c>
      <c r="AH14" s="45" t="str">
        <f t="shared" ca="1" si="6"/>
        <v/>
      </c>
      <c r="AI14" s="45" t="str">
        <f t="shared" ca="1" si="6"/>
        <v/>
      </c>
      <c r="AJ14" s="45" t="str">
        <f t="shared" ca="1" si="6"/>
        <v/>
      </c>
      <c r="AK14" s="45" t="str">
        <f t="shared" ca="1" si="6"/>
        <v/>
      </c>
      <c r="AL14" s="45" t="str">
        <f t="shared" ca="1" si="6"/>
        <v/>
      </c>
      <c r="AM14" s="45" t="str">
        <f t="shared" ca="1" si="6"/>
        <v/>
      </c>
      <c r="AN14" s="45" t="str">
        <f t="shared" ca="1" si="6"/>
        <v/>
      </c>
      <c r="AO14" s="45" t="str">
        <f t="shared" ca="1" si="6"/>
        <v/>
      </c>
      <c r="AP14" s="45" t="str">
        <f t="shared" ca="1" si="6"/>
        <v/>
      </c>
      <c r="AQ14" s="45" t="str">
        <f t="shared" ca="1" si="6"/>
        <v/>
      </c>
      <c r="AR14" s="45" t="str">
        <f t="shared" ca="1" si="6"/>
        <v/>
      </c>
      <c r="AS14" s="45" t="str">
        <f t="shared" ca="1" si="6"/>
        <v/>
      </c>
      <c r="AT14" s="45" t="str">
        <f t="shared" ca="1" si="6"/>
        <v/>
      </c>
      <c r="AU14" s="45" t="str">
        <f t="shared" ca="1" si="6"/>
        <v/>
      </c>
      <c r="AV14" s="45" t="str">
        <f t="shared" ca="1" si="6"/>
        <v/>
      </c>
      <c r="AW14" s="45" t="str">
        <f t="shared" ca="1" si="6"/>
        <v/>
      </c>
      <c r="AX14" s="45" t="str">
        <f t="shared" ca="1" si="6"/>
        <v/>
      </c>
      <c r="AY14" s="45" t="str">
        <f t="shared" ca="1" si="6"/>
        <v/>
      </c>
      <c r="AZ14" s="45" t="str">
        <f t="shared" ca="1" si="6"/>
        <v/>
      </c>
      <c r="BA14" s="45" t="str">
        <f t="shared" ca="1" si="6"/>
        <v/>
      </c>
      <c r="BB14" s="45" t="str">
        <f t="shared" ca="1" si="6"/>
        <v/>
      </c>
      <c r="BC14" s="45" t="str">
        <f t="shared" ca="1" si="6"/>
        <v/>
      </c>
      <c r="BD14" s="45" t="str">
        <f t="shared" ca="1" si="6"/>
        <v/>
      </c>
      <c r="BE14" s="45" t="str">
        <f t="shared" ca="1" si="6"/>
        <v/>
      </c>
      <c r="BF14" s="45" t="str">
        <f t="shared" ca="1" si="6"/>
        <v/>
      </c>
      <c r="BG14" s="45" t="str">
        <f t="shared" ca="1" si="6"/>
        <v/>
      </c>
      <c r="BH14" s="45" t="str">
        <f t="shared" ca="1" si="6"/>
        <v/>
      </c>
      <c r="BI14" s="45" t="str">
        <f t="shared" ca="1" si="6"/>
        <v/>
      </c>
      <c r="BJ14" s="45" t="str">
        <f t="shared" ca="1" si="6"/>
        <v/>
      </c>
      <c r="BK14" s="45" t="str">
        <f t="shared" ca="1" si="6"/>
        <v/>
      </c>
      <c r="BL14" s="45" t="str">
        <f t="shared" ca="1" si="6"/>
        <v/>
      </c>
      <c r="BM14" s="45" t="str">
        <f t="shared" si="6"/>
        <v/>
      </c>
    </row>
    <row r="15" spans="1:68" s="1" customFormat="1" ht="40.15" customHeight="1">
      <c r="A15" s="9"/>
      <c r="B15" s="121"/>
      <c r="C15" s="21" t="s">
        <v>42</v>
      </c>
      <c r="D15" s="21"/>
      <c r="E15" s="22"/>
      <c r="F15" s="23">
        <v>46028</v>
      </c>
      <c r="G15" s="24">
        <v>1</v>
      </c>
      <c r="H15" s="19"/>
      <c r="I15" s="45" t="str">
        <f t="shared" ca="1" si="5"/>
        <v/>
      </c>
      <c r="J15" s="45" t="str">
        <f t="shared" ca="1" si="5"/>
        <v/>
      </c>
      <c r="K15" s="45" t="str">
        <f t="shared" ca="1" si="5"/>
        <v/>
      </c>
      <c r="L15" s="45" t="str">
        <f t="shared" ca="1" si="5"/>
        <v/>
      </c>
      <c r="M15" s="45" t="str">
        <f t="shared" ca="1" si="5"/>
        <v/>
      </c>
      <c r="N15" s="45" t="str">
        <f t="shared" ca="1" si="5"/>
        <v/>
      </c>
      <c r="O15" s="45" t="str">
        <f t="shared" ca="1" si="5"/>
        <v/>
      </c>
      <c r="P15" s="45" t="str">
        <f t="shared" ca="1" si="5"/>
        <v/>
      </c>
      <c r="Q15" s="45" t="str">
        <f t="shared" ca="1" si="5"/>
        <v/>
      </c>
      <c r="R15" s="45" t="str">
        <f t="shared" ca="1" si="5"/>
        <v/>
      </c>
      <c r="S15" s="45" t="str">
        <f t="shared" ca="1" si="5"/>
        <v/>
      </c>
      <c r="T15" s="45" t="str">
        <f t="shared" ca="1" si="5"/>
        <v/>
      </c>
      <c r="U15" s="45" t="str">
        <f t="shared" ca="1" si="5"/>
        <v/>
      </c>
      <c r="V15" s="45" t="str">
        <f t="shared" ca="1" si="5"/>
        <v/>
      </c>
      <c r="W15" s="45" t="str">
        <f t="shared" ca="1" si="5"/>
        <v/>
      </c>
      <c r="X15" s="45" t="str">
        <f t="shared" ca="1" si="5"/>
        <v/>
      </c>
      <c r="Y15" s="45" t="str">
        <f t="shared" ca="1" si="6"/>
        <v/>
      </c>
      <c r="Z15" s="45" t="str">
        <f t="shared" ca="1" si="6"/>
        <v/>
      </c>
      <c r="AA15" s="45" t="str">
        <f t="shared" ca="1" si="6"/>
        <v/>
      </c>
      <c r="AB15" s="45" t="str">
        <f t="shared" ca="1" si="6"/>
        <v/>
      </c>
      <c r="AC15" s="45" t="str">
        <f t="shared" ca="1" si="6"/>
        <v/>
      </c>
      <c r="AD15" s="45" t="str">
        <f t="shared" ca="1" si="6"/>
        <v/>
      </c>
      <c r="AE15" s="45" t="str">
        <f t="shared" ca="1" si="6"/>
        <v/>
      </c>
      <c r="AF15" s="45" t="str">
        <f t="shared" ca="1" si="6"/>
        <v/>
      </c>
      <c r="AG15" s="45" t="str">
        <f t="shared" ca="1" si="6"/>
        <v/>
      </c>
      <c r="AH15" s="45" t="str">
        <f t="shared" ca="1" si="6"/>
        <v/>
      </c>
      <c r="AI15" s="45" t="str">
        <f t="shared" ca="1" si="6"/>
        <v/>
      </c>
      <c r="AJ15" s="45" t="str">
        <f t="shared" ca="1" si="6"/>
        <v/>
      </c>
      <c r="AK15" s="45" t="str">
        <f t="shared" ca="1" si="6"/>
        <v/>
      </c>
      <c r="AL15" s="45" t="str">
        <f t="shared" ca="1" si="6"/>
        <v/>
      </c>
      <c r="AM15" s="45" t="str">
        <f t="shared" ca="1" si="6"/>
        <v/>
      </c>
      <c r="AN15" s="45" t="str">
        <f t="shared" ca="1" si="6"/>
        <v/>
      </c>
      <c r="AO15" s="45" t="str">
        <f t="shared" ca="1" si="6"/>
        <v/>
      </c>
      <c r="AP15" s="45" t="str">
        <f t="shared" ca="1" si="6"/>
        <v/>
      </c>
      <c r="AQ15" s="45" t="str">
        <f t="shared" ca="1" si="6"/>
        <v/>
      </c>
      <c r="AR15" s="45" t="str">
        <f t="shared" ca="1" si="6"/>
        <v/>
      </c>
      <c r="AS15" s="45" t="str">
        <f t="shared" ca="1" si="6"/>
        <v/>
      </c>
      <c r="AT15" s="45" t="str">
        <f t="shared" ca="1" si="6"/>
        <v/>
      </c>
      <c r="AU15" s="45" t="str">
        <f t="shared" ca="1" si="6"/>
        <v/>
      </c>
      <c r="AV15" s="45" t="str">
        <f t="shared" ca="1" si="6"/>
        <v/>
      </c>
      <c r="AW15" s="45" t="str">
        <f t="shared" ca="1" si="6"/>
        <v/>
      </c>
      <c r="AX15" s="45" t="str">
        <f t="shared" ca="1" si="6"/>
        <v/>
      </c>
      <c r="AY15" s="45" t="str">
        <f t="shared" ca="1" si="6"/>
        <v/>
      </c>
      <c r="AZ15" s="45" t="str">
        <f t="shared" ca="1" si="6"/>
        <v/>
      </c>
      <c r="BA15" s="45" t="str">
        <f t="shared" ca="1" si="6"/>
        <v/>
      </c>
      <c r="BB15" s="45" t="str">
        <f t="shared" ca="1" si="6"/>
        <v/>
      </c>
      <c r="BC15" s="45" t="str">
        <f t="shared" ca="1" si="6"/>
        <v/>
      </c>
      <c r="BD15" s="45" t="str">
        <f t="shared" ca="1" si="6"/>
        <v/>
      </c>
      <c r="BE15" s="45" t="str">
        <f t="shared" ca="1" si="6"/>
        <v/>
      </c>
      <c r="BF15" s="45" t="str">
        <f t="shared" ca="1" si="6"/>
        <v/>
      </c>
      <c r="BG15" s="45" t="str">
        <f t="shared" ca="1" si="6"/>
        <v/>
      </c>
      <c r="BH15" s="45" t="str">
        <f t="shared" ca="1" si="6"/>
        <v/>
      </c>
      <c r="BI15" s="45" t="str">
        <f t="shared" ca="1" si="6"/>
        <v/>
      </c>
      <c r="BJ15" s="45" t="str">
        <f t="shared" ca="1" si="6"/>
        <v/>
      </c>
      <c r="BK15" s="45" t="str">
        <f t="shared" ca="1" si="6"/>
        <v/>
      </c>
      <c r="BL15" s="45" t="str">
        <f t="shared" ca="1" si="6"/>
        <v/>
      </c>
      <c r="BM15" s="45" t="str">
        <f t="shared" si="6"/>
        <v/>
      </c>
    </row>
    <row r="16" spans="1:68" s="1" customFormat="1" ht="40.15" customHeight="1">
      <c r="A16" s="9"/>
      <c r="B16" s="121" t="s">
        <v>55</v>
      </c>
      <c r="C16" s="21" t="s">
        <v>41</v>
      </c>
      <c r="D16" s="21"/>
      <c r="E16" s="22"/>
      <c r="F16" s="23">
        <v>46034</v>
      </c>
      <c r="G16" s="24">
        <v>2</v>
      </c>
      <c r="H16" s="19"/>
      <c r="I16" s="45" t="str">
        <f t="shared" ca="1" si="5"/>
        <v/>
      </c>
      <c r="J16" s="45" t="str">
        <f t="shared" ca="1" si="5"/>
        <v/>
      </c>
      <c r="K16" s="45" t="str">
        <f t="shared" ca="1" si="5"/>
        <v/>
      </c>
      <c r="L16" s="45" t="str">
        <f t="shared" ca="1" si="5"/>
        <v/>
      </c>
      <c r="M16" s="45" t="str">
        <f t="shared" ca="1" si="5"/>
        <v/>
      </c>
      <c r="N16" s="45" t="str">
        <f t="shared" ca="1" si="5"/>
        <v/>
      </c>
      <c r="O16" s="45" t="str">
        <f t="shared" ca="1" si="5"/>
        <v/>
      </c>
      <c r="P16" s="45" t="str">
        <f t="shared" ca="1" si="5"/>
        <v/>
      </c>
      <c r="Q16" s="45" t="str">
        <f t="shared" ca="1" si="5"/>
        <v/>
      </c>
      <c r="R16" s="45" t="str">
        <f t="shared" ca="1" si="5"/>
        <v/>
      </c>
      <c r="S16" s="45" t="str">
        <f t="shared" ca="1" si="5"/>
        <v/>
      </c>
      <c r="T16" s="45" t="str">
        <f t="shared" ca="1" si="5"/>
        <v/>
      </c>
      <c r="U16" s="45" t="str">
        <f t="shared" ca="1" si="5"/>
        <v/>
      </c>
      <c r="V16" s="45" t="str">
        <f t="shared" ca="1" si="5"/>
        <v/>
      </c>
      <c r="W16" s="45" t="str">
        <f t="shared" ca="1" si="5"/>
        <v/>
      </c>
      <c r="X16" s="45" t="str">
        <f t="shared" ca="1" si="5"/>
        <v/>
      </c>
      <c r="Y16" s="45" t="str">
        <f t="shared" ca="1" si="6"/>
        <v/>
      </c>
      <c r="Z16" s="45" t="str">
        <f t="shared" ca="1" si="6"/>
        <v/>
      </c>
      <c r="AA16" s="45" t="str">
        <f t="shared" ca="1" si="6"/>
        <v/>
      </c>
      <c r="AB16" s="45" t="str">
        <f t="shared" ca="1" si="6"/>
        <v/>
      </c>
      <c r="AC16" s="45" t="str">
        <f t="shared" ca="1" si="6"/>
        <v/>
      </c>
      <c r="AD16" s="45" t="str">
        <f t="shared" ca="1" si="6"/>
        <v/>
      </c>
      <c r="AE16" s="45" t="str">
        <f t="shared" ca="1" si="6"/>
        <v/>
      </c>
      <c r="AF16" s="45" t="str">
        <f t="shared" ca="1" si="6"/>
        <v/>
      </c>
      <c r="AG16" s="45" t="str">
        <f t="shared" ca="1" si="6"/>
        <v/>
      </c>
      <c r="AH16" s="45" t="str">
        <f t="shared" ca="1" si="6"/>
        <v/>
      </c>
      <c r="AI16" s="45" t="str">
        <f t="shared" ca="1" si="6"/>
        <v/>
      </c>
      <c r="AJ16" s="45" t="str">
        <f t="shared" ca="1" si="6"/>
        <v/>
      </c>
      <c r="AK16" s="45" t="str">
        <f t="shared" ca="1" si="6"/>
        <v/>
      </c>
      <c r="AL16" s="45" t="str">
        <f t="shared" ca="1" si="6"/>
        <v/>
      </c>
      <c r="AM16" s="45" t="str">
        <f t="shared" ca="1" si="6"/>
        <v/>
      </c>
      <c r="AN16" s="45" t="str">
        <f t="shared" ca="1" si="6"/>
        <v/>
      </c>
      <c r="AO16" s="45" t="str">
        <f t="shared" ca="1" si="6"/>
        <v/>
      </c>
      <c r="AP16" s="45" t="str">
        <f t="shared" ca="1" si="6"/>
        <v/>
      </c>
      <c r="AQ16" s="45" t="str">
        <f t="shared" ca="1" si="6"/>
        <v/>
      </c>
      <c r="AR16" s="45" t="str">
        <f t="shared" ca="1" si="6"/>
        <v/>
      </c>
      <c r="AS16" s="45" t="str">
        <f t="shared" ca="1" si="6"/>
        <v/>
      </c>
      <c r="AT16" s="45" t="str">
        <f t="shared" ca="1" si="6"/>
        <v/>
      </c>
      <c r="AU16" s="45" t="str">
        <f t="shared" ca="1" si="6"/>
        <v/>
      </c>
      <c r="AV16" s="45" t="str">
        <f t="shared" ca="1" si="6"/>
        <v/>
      </c>
      <c r="AW16" s="45" t="str">
        <f t="shared" ca="1" si="6"/>
        <v/>
      </c>
      <c r="AX16" s="45" t="str">
        <f t="shared" ca="1" si="6"/>
        <v/>
      </c>
      <c r="AY16" s="45" t="str">
        <f t="shared" ca="1" si="6"/>
        <v/>
      </c>
      <c r="AZ16" s="45" t="str">
        <f t="shared" ca="1" si="6"/>
        <v/>
      </c>
      <c r="BA16" s="45" t="str">
        <f t="shared" ca="1" si="6"/>
        <v/>
      </c>
      <c r="BB16" s="45" t="str">
        <f t="shared" ca="1" si="6"/>
        <v/>
      </c>
      <c r="BC16" s="45" t="str">
        <f t="shared" ca="1" si="6"/>
        <v/>
      </c>
      <c r="BD16" s="45" t="str">
        <f t="shared" ca="1" si="6"/>
        <v/>
      </c>
      <c r="BE16" s="45" t="str">
        <f t="shared" ca="1" si="6"/>
        <v/>
      </c>
      <c r="BF16" s="45" t="str">
        <f t="shared" ca="1" si="6"/>
        <v/>
      </c>
      <c r="BG16" s="45" t="str">
        <f t="shared" ca="1" si="6"/>
        <v/>
      </c>
      <c r="BH16" s="45" t="str">
        <f t="shared" ca="1" si="6"/>
        <v/>
      </c>
      <c r="BI16" s="45" t="str">
        <f t="shared" ca="1" si="6"/>
        <v/>
      </c>
      <c r="BJ16" s="45" t="str">
        <f t="shared" ca="1" si="6"/>
        <v/>
      </c>
      <c r="BK16" s="45" t="str">
        <f t="shared" ca="1" si="6"/>
        <v/>
      </c>
      <c r="BL16" s="45" t="str">
        <f t="shared" ca="1" si="6"/>
        <v/>
      </c>
      <c r="BM16" s="45" t="str">
        <f t="shared" si="6"/>
        <v/>
      </c>
    </row>
    <row r="17" spans="1:65" s="1" customFormat="1" ht="40.15" customHeight="1">
      <c r="A17" s="10"/>
      <c r="B17" s="121"/>
      <c r="C17" s="21" t="s">
        <v>42</v>
      </c>
      <c r="D17" s="21"/>
      <c r="E17" s="22"/>
      <c r="F17" s="23">
        <v>46028</v>
      </c>
      <c r="G17" s="24">
        <v>1</v>
      </c>
      <c r="H17" s="19"/>
      <c r="I17" s="45" t="str">
        <f t="shared" ca="1" si="5"/>
        <v/>
      </c>
      <c r="J17" s="45" t="str">
        <f t="shared" ca="1" si="5"/>
        <v/>
      </c>
      <c r="K17" s="45" t="str">
        <f t="shared" ca="1" si="5"/>
        <v/>
      </c>
      <c r="L17" s="45" t="str">
        <f t="shared" ca="1" si="5"/>
        <v/>
      </c>
      <c r="M17" s="45" t="str">
        <f t="shared" ca="1" si="5"/>
        <v/>
      </c>
      <c r="N17" s="45" t="str">
        <f t="shared" ca="1" si="5"/>
        <v/>
      </c>
      <c r="O17" s="45" t="str">
        <f t="shared" ca="1" si="5"/>
        <v/>
      </c>
      <c r="P17" s="45" t="str">
        <f t="shared" ca="1" si="5"/>
        <v/>
      </c>
      <c r="Q17" s="45" t="str">
        <f t="shared" ca="1" si="5"/>
        <v/>
      </c>
      <c r="R17" s="45" t="str">
        <f t="shared" ca="1" si="5"/>
        <v/>
      </c>
      <c r="S17" s="45" t="str">
        <f t="shared" ca="1" si="5"/>
        <v/>
      </c>
      <c r="T17" s="45" t="str">
        <f t="shared" ca="1" si="5"/>
        <v/>
      </c>
      <c r="U17" s="45" t="str">
        <f t="shared" ca="1" si="5"/>
        <v/>
      </c>
      <c r="V17" s="45" t="str">
        <f t="shared" ca="1" si="5"/>
        <v/>
      </c>
      <c r="W17" s="45" t="str">
        <f t="shared" ca="1" si="5"/>
        <v/>
      </c>
      <c r="X17" s="45" t="str">
        <f t="shared" ca="1" si="5"/>
        <v/>
      </c>
      <c r="Y17" s="45" t="str">
        <f t="shared" ca="1" si="6"/>
        <v/>
      </c>
      <c r="Z17" s="45" t="str">
        <f t="shared" ca="1" si="6"/>
        <v/>
      </c>
      <c r="AA17" s="45" t="str">
        <f t="shared" ca="1" si="6"/>
        <v/>
      </c>
      <c r="AB17" s="45" t="str">
        <f t="shared" ca="1" si="6"/>
        <v/>
      </c>
      <c r="AC17" s="45" t="str">
        <f t="shared" ca="1" si="6"/>
        <v/>
      </c>
      <c r="AD17" s="45" t="str">
        <f t="shared" ca="1" si="6"/>
        <v/>
      </c>
      <c r="AE17" s="45" t="str">
        <f t="shared" ca="1" si="6"/>
        <v/>
      </c>
      <c r="AF17" s="45" t="str">
        <f t="shared" ca="1" si="6"/>
        <v/>
      </c>
      <c r="AG17" s="45" t="str">
        <f t="shared" ca="1" si="6"/>
        <v/>
      </c>
      <c r="AH17" s="45" t="str">
        <f t="shared" ref="AH17:AW32" ca="1" si="7">IF(AND($C17="Ziel",AH$7&gt;=$F17,AH$7&lt;=$F17+$G17-1),2,IF(AND($C17="Meilenstein",AH$7&gt;=$F17,AH$7&lt;=$F17+$G17-1),1,""))</f>
        <v/>
      </c>
      <c r="AI17" s="45" t="str">
        <f t="shared" ca="1" si="7"/>
        <v/>
      </c>
      <c r="AJ17" s="45" t="str">
        <f t="shared" ca="1" si="7"/>
        <v/>
      </c>
      <c r="AK17" s="45" t="str">
        <f t="shared" ca="1" si="7"/>
        <v/>
      </c>
      <c r="AL17" s="45" t="str">
        <f t="shared" ca="1" si="7"/>
        <v/>
      </c>
      <c r="AM17" s="45" t="str">
        <f t="shared" ca="1" si="7"/>
        <v/>
      </c>
      <c r="AN17" s="45" t="str">
        <f t="shared" ca="1" si="7"/>
        <v/>
      </c>
      <c r="AO17" s="45" t="str">
        <f t="shared" ca="1" si="7"/>
        <v/>
      </c>
      <c r="AP17" s="45" t="str">
        <f t="shared" ca="1" si="7"/>
        <v/>
      </c>
      <c r="AQ17" s="45" t="str">
        <f t="shared" ca="1" si="7"/>
        <v/>
      </c>
      <c r="AR17" s="45" t="str">
        <f t="shared" ca="1" si="7"/>
        <v/>
      </c>
      <c r="AS17" s="45" t="str">
        <f t="shared" ca="1" si="7"/>
        <v/>
      </c>
      <c r="AT17" s="45" t="str">
        <f t="shared" ca="1" si="7"/>
        <v/>
      </c>
      <c r="AU17" s="45" t="str">
        <f t="shared" ca="1" si="7"/>
        <v/>
      </c>
      <c r="AV17" s="45" t="str">
        <f t="shared" ca="1" si="7"/>
        <v/>
      </c>
      <c r="AW17" s="45" t="str">
        <f t="shared" ca="1" si="7"/>
        <v/>
      </c>
      <c r="AX17" s="45" t="str">
        <f t="shared" ref="AX17:BM32" ca="1" si="8">IF(AND($C17="Ziel",AX$7&gt;=$F17,AX$7&lt;=$F17+$G17-1),2,IF(AND($C17="Meilenstein",AX$7&gt;=$F17,AX$7&lt;=$F17+$G17-1),1,""))</f>
        <v/>
      </c>
      <c r="AY17" s="45" t="str">
        <f t="shared" ca="1" si="8"/>
        <v/>
      </c>
      <c r="AZ17" s="45" t="str">
        <f t="shared" ca="1" si="8"/>
        <v/>
      </c>
      <c r="BA17" s="45" t="str">
        <f t="shared" ca="1" si="8"/>
        <v/>
      </c>
      <c r="BB17" s="45" t="str">
        <f t="shared" ca="1" si="8"/>
        <v/>
      </c>
      <c r="BC17" s="45" t="str">
        <f t="shared" ca="1" si="8"/>
        <v/>
      </c>
      <c r="BD17" s="45" t="str">
        <f t="shared" ca="1" si="8"/>
        <v/>
      </c>
      <c r="BE17" s="45" t="str">
        <f t="shared" ca="1" si="8"/>
        <v/>
      </c>
      <c r="BF17" s="45" t="str">
        <f t="shared" ca="1" si="8"/>
        <v/>
      </c>
      <c r="BG17" s="45" t="str">
        <f t="shared" ca="1" si="8"/>
        <v/>
      </c>
      <c r="BH17" s="45" t="str">
        <f t="shared" ca="1" si="8"/>
        <v/>
      </c>
      <c r="BI17" s="45" t="str">
        <f t="shared" ca="1" si="8"/>
        <v/>
      </c>
      <c r="BJ17" s="45" t="str">
        <f t="shared" ca="1" si="8"/>
        <v/>
      </c>
      <c r="BK17" s="45" t="str">
        <f t="shared" ca="1" si="8"/>
        <v/>
      </c>
      <c r="BL17" s="45" t="str">
        <f t="shared" ca="1" si="8"/>
        <v/>
      </c>
      <c r="BM17" s="45" t="str">
        <f t="shared" si="8"/>
        <v/>
      </c>
    </row>
    <row r="18" spans="1:65" s="1" customFormat="1" ht="40.15" customHeight="1">
      <c r="A18" s="10"/>
      <c r="B18" s="121" t="s">
        <v>56</v>
      </c>
      <c r="C18" s="21" t="s">
        <v>41</v>
      </c>
      <c r="D18" s="21"/>
      <c r="E18" s="22"/>
      <c r="F18" s="23">
        <v>46035</v>
      </c>
      <c r="G18" s="24">
        <v>1</v>
      </c>
      <c r="H18" s="19"/>
      <c r="I18" s="45" t="str">
        <f t="shared" ca="1" si="5"/>
        <v/>
      </c>
      <c r="J18" s="45" t="str">
        <f t="shared" ca="1" si="5"/>
        <v/>
      </c>
      <c r="K18" s="45" t="str">
        <f t="shared" ca="1" si="5"/>
        <v/>
      </c>
      <c r="L18" s="45" t="str">
        <f t="shared" ca="1" si="5"/>
        <v/>
      </c>
      <c r="M18" s="45" t="str">
        <f t="shared" ca="1" si="5"/>
        <v/>
      </c>
      <c r="N18" s="45" t="str">
        <f t="shared" ca="1" si="5"/>
        <v/>
      </c>
      <c r="O18" s="45" t="str">
        <f t="shared" ca="1" si="5"/>
        <v/>
      </c>
      <c r="P18" s="45" t="str">
        <f t="shared" ca="1" si="5"/>
        <v/>
      </c>
      <c r="Q18" s="45" t="str">
        <f t="shared" ca="1" si="5"/>
        <v/>
      </c>
      <c r="R18" s="45" t="str">
        <f t="shared" ca="1" si="5"/>
        <v/>
      </c>
      <c r="S18" s="45" t="str">
        <f t="shared" ca="1" si="5"/>
        <v/>
      </c>
      <c r="T18" s="45" t="str">
        <f t="shared" ca="1" si="5"/>
        <v/>
      </c>
      <c r="U18" s="45" t="str">
        <f t="shared" ca="1" si="5"/>
        <v/>
      </c>
      <c r="V18" s="45" t="str">
        <f t="shared" ca="1" si="5"/>
        <v/>
      </c>
      <c r="W18" s="45" t="str">
        <f t="shared" ca="1" si="5"/>
        <v/>
      </c>
      <c r="X18" s="45" t="str">
        <f t="shared" ca="1" si="5"/>
        <v/>
      </c>
      <c r="Y18" s="45" t="str">
        <f t="shared" ref="Y18:AN32" ca="1" si="9">IF(AND($C18="Ziel",Y$7&gt;=$F18,Y$7&lt;=$F18+$G18-1),2,IF(AND($C18="Meilenstein",Y$7&gt;=$F18,Y$7&lt;=$F18+$G18-1),1,""))</f>
        <v/>
      </c>
      <c r="Z18" s="45" t="str">
        <f t="shared" ca="1" si="9"/>
        <v/>
      </c>
      <c r="AA18" s="45" t="str">
        <f t="shared" ca="1" si="9"/>
        <v/>
      </c>
      <c r="AB18" s="45" t="str">
        <f t="shared" ca="1" si="9"/>
        <v/>
      </c>
      <c r="AC18" s="45" t="str">
        <f t="shared" ca="1" si="9"/>
        <v/>
      </c>
      <c r="AD18" s="45" t="str">
        <f t="shared" ca="1" si="9"/>
        <v/>
      </c>
      <c r="AE18" s="45" t="str">
        <f t="shared" ca="1" si="9"/>
        <v/>
      </c>
      <c r="AF18" s="45" t="str">
        <f t="shared" ca="1" si="9"/>
        <v/>
      </c>
      <c r="AG18" s="45" t="str">
        <f t="shared" ca="1" si="9"/>
        <v/>
      </c>
      <c r="AH18" s="45" t="str">
        <f t="shared" ca="1" si="9"/>
        <v/>
      </c>
      <c r="AI18" s="45" t="str">
        <f t="shared" ca="1" si="9"/>
        <v/>
      </c>
      <c r="AJ18" s="45" t="str">
        <f t="shared" ca="1" si="9"/>
        <v/>
      </c>
      <c r="AK18" s="45" t="str">
        <f t="shared" ca="1" si="9"/>
        <v/>
      </c>
      <c r="AL18" s="45" t="str">
        <f t="shared" ca="1" si="9"/>
        <v/>
      </c>
      <c r="AM18" s="45" t="str">
        <f t="shared" ca="1" si="9"/>
        <v/>
      </c>
      <c r="AN18" s="45" t="str">
        <f t="shared" ca="1" si="9"/>
        <v/>
      </c>
      <c r="AO18" s="45" t="str">
        <f t="shared" ca="1" si="7"/>
        <v/>
      </c>
      <c r="AP18" s="45" t="str">
        <f t="shared" ca="1" si="7"/>
        <v/>
      </c>
      <c r="AQ18" s="45" t="str">
        <f t="shared" ca="1" si="7"/>
        <v/>
      </c>
      <c r="AR18" s="45" t="str">
        <f t="shared" ca="1" si="7"/>
        <v/>
      </c>
      <c r="AS18" s="45" t="str">
        <f t="shared" ca="1" si="7"/>
        <v/>
      </c>
      <c r="AT18" s="45" t="str">
        <f t="shared" ca="1" si="7"/>
        <v/>
      </c>
      <c r="AU18" s="45" t="str">
        <f t="shared" ca="1" si="7"/>
        <v/>
      </c>
      <c r="AV18" s="45" t="str">
        <f t="shared" ca="1" si="7"/>
        <v/>
      </c>
      <c r="AW18" s="45" t="str">
        <f t="shared" ca="1" si="7"/>
        <v/>
      </c>
      <c r="AX18" s="45" t="str">
        <f t="shared" ca="1" si="8"/>
        <v/>
      </c>
      <c r="AY18" s="45" t="str">
        <f t="shared" ca="1" si="8"/>
        <v/>
      </c>
      <c r="AZ18" s="45" t="str">
        <f t="shared" ca="1" si="8"/>
        <v/>
      </c>
      <c r="BA18" s="45" t="str">
        <f t="shared" ca="1" si="8"/>
        <v/>
      </c>
      <c r="BB18" s="45" t="str">
        <f t="shared" ca="1" si="8"/>
        <v/>
      </c>
      <c r="BC18" s="45" t="str">
        <f t="shared" ca="1" si="8"/>
        <v/>
      </c>
      <c r="BD18" s="45" t="str">
        <f t="shared" ca="1" si="8"/>
        <v/>
      </c>
      <c r="BE18" s="45" t="str">
        <f t="shared" ca="1" si="8"/>
        <v/>
      </c>
      <c r="BF18" s="45" t="str">
        <f t="shared" ca="1" si="8"/>
        <v/>
      </c>
      <c r="BG18" s="45" t="str">
        <f t="shared" ca="1" si="8"/>
        <v/>
      </c>
      <c r="BH18" s="45" t="str">
        <f t="shared" ca="1" si="8"/>
        <v/>
      </c>
      <c r="BI18" s="45" t="str">
        <f t="shared" ca="1" si="8"/>
        <v/>
      </c>
      <c r="BJ18" s="45" t="str">
        <f t="shared" ca="1" si="8"/>
        <v/>
      </c>
      <c r="BK18" s="45" t="str">
        <f t="shared" ca="1" si="8"/>
        <v/>
      </c>
      <c r="BL18" s="45" t="str">
        <f t="shared" ca="1" si="8"/>
        <v/>
      </c>
      <c r="BM18" s="45" t="str">
        <f t="shared" si="8"/>
        <v/>
      </c>
    </row>
    <row r="19" spans="1:65" s="1" customFormat="1" ht="40.15" customHeight="1">
      <c r="A19" s="9"/>
      <c r="B19" s="12"/>
      <c r="C19" s="21" t="s">
        <v>42</v>
      </c>
      <c r="D19" s="21"/>
      <c r="E19" s="22"/>
      <c r="F19" s="23">
        <v>46028</v>
      </c>
      <c r="G19" s="24">
        <v>1</v>
      </c>
      <c r="H19" s="19"/>
      <c r="I19" s="45" t="str">
        <f t="shared" ca="1" si="5"/>
        <v/>
      </c>
      <c r="J19" s="45" t="str">
        <f t="shared" ca="1" si="5"/>
        <v/>
      </c>
      <c r="K19" s="45" t="str">
        <f t="shared" ca="1" si="5"/>
        <v/>
      </c>
      <c r="L19" s="45" t="str">
        <f t="shared" ca="1" si="5"/>
        <v/>
      </c>
      <c r="M19" s="45" t="str">
        <f t="shared" ca="1" si="5"/>
        <v/>
      </c>
      <c r="N19" s="45" t="str">
        <f t="shared" ca="1" si="5"/>
        <v/>
      </c>
      <c r="O19" s="45" t="str">
        <f t="shared" ca="1" si="5"/>
        <v/>
      </c>
      <c r="P19" s="45" t="str">
        <f t="shared" ca="1" si="5"/>
        <v/>
      </c>
      <c r="Q19" s="45" t="str">
        <f t="shared" ca="1" si="5"/>
        <v/>
      </c>
      <c r="R19" s="45" t="str">
        <f t="shared" ca="1" si="5"/>
        <v/>
      </c>
      <c r="S19" s="45" t="str">
        <f t="shared" ca="1" si="5"/>
        <v/>
      </c>
      <c r="T19" s="45" t="str">
        <f t="shared" ca="1" si="5"/>
        <v/>
      </c>
      <c r="U19" s="45" t="str">
        <f t="shared" ca="1" si="5"/>
        <v/>
      </c>
      <c r="V19" s="45" t="str">
        <f t="shared" ca="1" si="5"/>
        <v/>
      </c>
      <c r="W19" s="45" t="str">
        <f t="shared" ca="1" si="5"/>
        <v/>
      </c>
      <c r="X19" s="45" t="str">
        <f t="shared" ca="1" si="5"/>
        <v/>
      </c>
      <c r="Y19" s="45" t="str">
        <f t="shared" ca="1" si="9"/>
        <v/>
      </c>
      <c r="Z19" s="45" t="str">
        <f t="shared" ca="1" si="9"/>
        <v/>
      </c>
      <c r="AA19" s="45" t="str">
        <f t="shared" ca="1" si="9"/>
        <v/>
      </c>
      <c r="AB19" s="45" t="str">
        <f t="shared" ca="1" si="9"/>
        <v/>
      </c>
      <c r="AC19" s="45" t="str">
        <f t="shared" ca="1" si="9"/>
        <v/>
      </c>
      <c r="AD19" s="45" t="str">
        <f t="shared" ca="1" si="9"/>
        <v/>
      </c>
      <c r="AE19" s="45" t="str">
        <f t="shared" ca="1" si="9"/>
        <v/>
      </c>
      <c r="AF19" s="45" t="str">
        <f t="shared" ca="1" si="9"/>
        <v/>
      </c>
      <c r="AG19" s="45" t="str">
        <f t="shared" ca="1" si="9"/>
        <v/>
      </c>
      <c r="AH19" s="45" t="str">
        <f t="shared" ca="1" si="9"/>
        <v/>
      </c>
      <c r="AI19" s="45" t="str">
        <f t="shared" ca="1" si="9"/>
        <v/>
      </c>
      <c r="AJ19" s="45" t="str">
        <f t="shared" ca="1" si="9"/>
        <v/>
      </c>
      <c r="AK19" s="45" t="str">
        <f t="shared" ca="1" si="9"/>
        <v/>
      </c>
      <c r="AL19" s="45" t="str">
        <f t="shared" ca="1" si="9"/>
        <v/>
      </c>
      <c r="AM19" s="45" t="str">
        <f t="shared" ca="1" si="9"/>
        <v/>
      </c>
      <c r="AN19" s="45" t="str">
        <f t="shared" ca="1" si="9"/>
        <v/>
      </c>
      <c r="AO19" s="45" t="str">
        <f t="shared" ca="1" si="7"/>
        <v/>
      </c>
      <c r="AP19" s="45" t="str">
        <f t="shared" ca="1" si="7"/>
        <v/>
      </c>
      <c r="AQ19" s="45" t="str">
        <f t="shared" ca="1" si="7"/>
        <v/>
      </c>
      <c r="AR19" s="45" t="str">
        <f t="shared" ca="1" si="7"/>
        <v/>
      </c>
      <c r="AS19" s="45" t="str">
        <f t="shared" ca="1" si="7"/>
        <v/>
      </c>
      <c r="AT19" s="45" t="str">
        <f t="shared" ca="1" si="7"/>
        <v/>
      </c>
      <c r="AU19" s="45" t="str">
        <f t="shared" ca="1" si="7"/>
        <v/>
      </c>
      <c r="AV19" s="45" t="str">
        <f t="shared" ca="1" si="7"/>
        <v/>
      </c>
      <c r="AW19" s="45" t="str">
        <f t="shared" ca="1" si="7"/>
        <v/>
      </c>
      <c r="AX19" s="45" t="str">
        <f t="shared" ca="1" si="8"/>
        <v/>
      </c>
      <c r="AY19" s="45" t="str">
        <f t="shared" ca="1" si="8"/>
        <v/>
      </c>
      <c r="AZ19" s="45" t="str">
        <f t="shared" ca="1" si="8"/>
        <v/>
      </c>
      <c r="BA19" s="45" t="str">
        <f t="shared" ca="1" si="8"/>
        <v/>
      </c>
      <c r="BB19" s="45" t="str">
        <f t="shared" ca="1" si="8"/>
        <v/>
      </c>
      <c r="BC19" s="45" t="str">
        <f t="shared" ca="1" si="8"/>
        <v/>
      </c>
      <c r="BD19" s="45" t="str">
        <f t="shared" ca="1" si="8"/>
        <v/>
      </c>
      <c r="BE19" s="45" t="str">
        <f t="shared" ca="1" si="8"/>
        <v/>
      </c>
      <c r="BF19" s="45" t="str">
        <f t="shared" ca="1" si="8"/>
        <v/>
      </c>
      <c r="BG19" s="45" t="str">
        <f t="shared" ca="1" si="8"/>
        <v/>
      </c>
      <c r="BH19" s="45" t="str">
        <f t="shared" ca="1" si="8"/>
        <v/>
      </c>
      <c r="BI19" s="45" t="str">
        <f t="shared" ca="1" si="8"/>
        <v/>
      </c>
      <c r="BJ19" s="45" t="str">
        <f t="shared" ca="1" si="8"/>
        <v/>
      </c>
      <c r="BK19" s="45" t="str">
        <f t="shared" ca="1" si="8"/>
        <v/>
      </c>
      <c r="BL19" s="45" t="str">
        <f t="shared" ca="1" si="8"/>
        <v/>
      </c>
      <c r="BM19" s="45" t="str">
        <f t="shared" si="8"/>
        <v/>
      </c>
    </row>
    <row r="20" spans="1:65" s="1" customFormat="1" ht="40.15" customHeight="1">
      <c r="A20" s="9"/>
      <c r="B20" s="121" t="s">
        <v>57</v>
      </c>
      <c r="C20" s="21" t="s">
        <v>41</v>
      </c>
      <c r="D20" s="21"/>
      <c r="E20" s="22"/>
      <c r="F20" s="23">
        <v>46041</v>
      </c>
      <c r="G20" s="24">
        <v>7</v>
      </c>
      <c r="H20" s="19"/>
      <c r="I20" s="45" t="str">
        <f t="shared" ca="1" si="5"/>
        <v/>
      </c>
      <c r="J20" s="45" t="str">
        <f t="shared" ca="1" si="5"/>
        <v/>
      </c>
      <c r="K20" s="45" t="str">
        <f t="shared" ca="1" si="5"/>
        <v/>
      </c>
      <c r="L20" s="45" t="str">
        <f t="shared" ca="1" si="5"/>
        <v/>
      </c>
      <c r="M20" s="45" t="str">
        <f t="shared" ca="1" si="5"/>
        <v/>
      </c>
      <c r="N20" s="45" t="str">
        <f t="shared" ca="1" si="5"/>
        <v/>
      </c>
      <c r="O20" s="45" t="str">
        <f t="shared" ca="1" si="5"/>
        <v/>
      </c>
      <c r="P20" s="45" t="str">
        <f t="shared" ca="1" si="5"/>
        <v/>
      </c>
      <c r="Q20" s="45" t="str">
        <f t="shared" ca="1" si="5"/>
        <v/>
      </c>
      <c r="R20" s="45" t="str">
        <f t="shared" ca="1" si="5"/>
        <v/>
      </c>
      <c r="S20" s="45" t="str">
        <f t="shared" ca="1" si="5"/>
        <v/>
      </c>
      <c r="T20" s="45" t="str">
        <f t="shared" ca="1" si="5"/>
        <v/>
      </c>
      <c r="U20" s="45" t="str">
        <f t="shared" ca="1" si="5"/>
        <v/>
      </c>
      <c r="V20" s="45" t="str">
        <f t="shared" ca="1" si="5"/>
        <v/>
      </c>
      <c r="W20" s="45" t="str">
        <f t="shared" ca="1" si="5"/>
        <v/>
      </c>
      <c r="X20" s="45" t="str">
        <f t="shared" ca="1" si="5"/>
        <v/>
      </c>
      <c r="Y20" s="45" t="str">
        <f t="shared" ca="1" si="9"/>
        <v/>
      </c>
      <c r="Z20" s="45" t="str">
        <f t="shared" ca="1" si="9"/>
        <v/>
      </c>
      <c r="AA20" s="45" t="str">
        <f t="shared" ca="1" si="9"/>
        <v/>
      </c>
      <c r="AB20" s="45" t="str">
        <f t="shared" ca="1" si="9"/>
        <v/>
      </c>
      <c r="AC20" s="45" t="str">
        <f t="shared" ca="1" si="9"/>
        <v/>
      </c>
      <c r="AD20" s="45" t="str">
        <f t="shared" ca="1" si="9"/>
        <v/>
      </c>
      <c r="AE20" s="45" t="str">
        <f t="shared" ca="1" si="9"/>
        <v/>
      </c>
      <c r="AF20" s="45" t="str">
        <f t="shared" ca="1" si="9"/>
        <v/>
      </c>
      <c r="AG20" s="45" t="str">
        <f t="shared" ca="1" si="9"/>
        <v/>
      </c>
      <c r="AH20" s="45" t="str">
        <f t="shared" ca="1" si="9"/>
        <v/>
      </c>
      <c r="AI20" s="45" t="str">
        <f t="shared" ca="1" si="9"/>
        <v/>
      </c>
      <c r="AJ20" s="45" t="str">
        <f t="shared" ca="1" si="9"/>
        <v/>
      </c>
      <c r="AK20" s="45" t="str">
        <f t="shared" ca="1" si="9"/>
        <v/>
      </c>
      <c r="AL20" s="45" t="str">
        <f t="shared" ca="1" si="9"/>
        <v/>
      </c>
      <c r="AM20" s="45" t="str">
        <f t="shared" ca="1" si="9"/>
        <v/>
      </c>
      <c r="AN20" s="45" t="str">
        <f t="shared" ca="1" si="9"/>
        <v/>
      </c>
      <c r="AO20" s="45" t="str">
        <f t="shared" ca="1" si="7"/>
        <v/>
      </c>
      <c r="AP20" s="45" t="str">
        <f t="shared" ca="1" si="7"/>
        <v/>
      </c>
      <c r="AQ20" s="45" t="str">
        <f t="shared" ca="1" si="7"/>
        <v/>
      </c>
      <c r="AR20" s="45" t="str">
        <f t="shared" ca="1" si="7"/>
        <v/>
      </c>
      <c r="AS20" s="45" t="str">
        <f t="shared" ca="1" si="7"/>
        <v/>
      </c>
      <c r="AT20" s="45" t="str">
        <f t="shared" ca="1" si="7"/>
        <v/>
      </c>
      <c r="AU20" s="45" t="str">
        <f t="shared" ca="1" si="7"/>
        <v/>
      </c>
      <c r="AV20" s="45" t="str">
        <f t="shared" ca="1" si="7"/>
        <v/>
      </c>
      <c r="AW20" s="45" t="str">
        <f t="shared" ca="1" si="7"/>
        <v/>
      </c>
      <c r="AX20" s="45" t="str">
        <f t="shared" ca="1" si="8"/>
        <v/>
      </c>
      <c r="AY20" s="45" t="str">
        <f t="shared" ca="1" si="8"/>
        <v/>
      </c>
      <c r="AZ20" s="45" t="str">
        <f t="shared" ca="1" si="8"/>
        <v/>
      </c>
      <c r="BA20" s="45" t="str">
        <f t="shared" ca="1" si="8"/>
        <v/>
      </c>
      <c r="BB20" s="45" t="str">
        <f t="shared" ca="1" si="8"/>
        <v/>
      </c>
      <c r="BC20" s="45" t="str">
        <f t="shared" ca="1" si="8"/>
        <v/>
      </c>
      <c r="BD20" s="45" t="str">
        <f t="shared" ca="1" si="8"/>
        <v/>
      </c>
      <c r="BE20" s="45" t="str">
        <f t="shared" ca="1" si="8"/>
        <v/>
      </c>
      <c r="BF20" s="45" t="str">
        <f t="shared" ca="1" si="8"/>
        <v/>
      </c>
      <c r="BG20" s="45" t="str">
        <f t="shared" ca="1" si="8"/>
        <v/>
      </c>
      <c r="BH20" s="45" t="str">
        <f t="shared" ca="1" si="8"/>
        <v/>
      </c>
      <c r="BI20" s="45" t="str">
        <f t="shared" ca="1" si="8"/>
        <v/>
      </c>
      <c r="BJ20" s="45" t="str">
        <f t="shared" ca="1" si="8"/>
        <v/>
      </c>
      <c r="BK20" s="45" t="str">
        <f t="shared" ca="1" si="8"/>
        <v/>
      </c>
      <c r="BL20" s="45" t="str">
        <f t="shared" ca="1" si="8"/>
        <v/>
      </c>
      <c r="BM20" s="45" t="str">
        <f t="shared" si="8"/>
        <v/>
      </c>
    </row>
    <row r="21" spans="1:65" s="1" customFormat="1" ht="40.15" customHeight="1">
      <c r="A21" s="9"/>
      <c r="B21" s="121"/>
      <c r="C21" s="21" t="s">
        <v>42</v>
      </c>
      <c r="D21" s="21"/>
      <c r="E21" s="22"/>
      <c r="F21" s="23"/>
      <c r="G21" s="24"/>
      <c r="H21" s="19"/>
      <c r="I21" s="45" t="str">
        <f t="shared" ca="1" si="5"/>
        <v/>
      </c>
      <c r="J21" s="45" t="str">
        <f t="shared" ca="1" si="5"/>
        <v/>
      </c>
      <c r="K21" s="45" t="str">
        <f t="shared" ca="1" si="5"/>
        <v/>
      </c>
      <c r="L21" s="45" t="str">
        <f t="shared" ca="1" si="5"/>
        <v/>
      </c>
      <c r="M21" s="45" t="str">
        <f t="shared" ca="1" si="5"/>
        <v/>
      </c>
      <c r="N21" s="45" t="str">
        <f t="shared" ca="1" si="5"/>
        <v/>
      </c>
      <c r="O21" s="45" t="str">
        <f t="shared" ca="1" si="5"/>
        <v/>
      </c>
      <c r="P21" s="45" t="str">
        <f t="shared" ca="1" si="5"/>
        <v/>
      </c>
      <c r="Q21" s="45" t="str">
        <f t="shared" ca="1" si="5"/>
        <v/>
      </c>
      <c r="R21" s="45" t="str">
        <f t="shared" ca="1" si="5"/>
        <v/>
      </c>
      <c r="S21" s="45" t="str">
        <f t="shared" ca="1" si="5"/>
        <v/>
      </c>
      <c r="T21" s="45" t="str">
        <f t="shared" ca="1" si="5"/>
        <v/>
      </c>
      <c r="U21" s="45" t="str">
        <f t="shared" ca="1" si="5"/>
        <v/>
      </c>
      <c r="V21" s="45" t="str">
        <f t="shared" ca="1" si="5"/>
        <v/>
      </c>
      <c r="W21" s="45" t="str">
        <f t="shared" ca="1" si="5"/>
        <v/>
      </c>
      <c r="X21" s="45" t="str">
        <f t="shared" ca="1" si="5"/>
        <v/>
      </c>
      <c r="Y21" s="45" t="str">
        <f t="shared" ca="1" si="9"/>
        <v/>
      </c>
      <c r="Z21" s="45" t="str">
        <f t="shared" ca="1" si="9"/>
        <v/>
      </c>
      <c r="AA21" s="45" t="str">
        <f t="shared" ca="1" si="9"/>
        <v/>
      </c>
      <c r="AB21" s="45" t="str">
        <f t="shared" ca="1" si="9"/>
        <v/>
      </c>
      <c r="AC21" s="45" t="str">
        <f t="shared" ca="1" si="9"/>
        <v/>
      </c>
      <c r="AD21" s="45" t="str">
        <f t="shared" ca="1" si="9"/>
        <v/>
      </c>
      <c r="AE21" s="45" t="str">
        <f t="shared" ca="1" si="9"/>
        <v/>
      </c>
      <c r="AF21" s="45" t="str">
        <f t="shared" ca="1" si="9"/>
        <v/>
      </c>
      <c r="AG21" s="45" t="str">
        <f t="shared" ca="1" si="9"/>
        <v/>
      </c>
      <c r="AH21" s="45" t="str">
        <f t="shared" ca="1" si="9"/>
        <v/>
      </c>
      <c r="AI21" s="45" t="str">
        <f t="shared" ca="1" si="9"/>
        <v/>
      </c>
      <c r="AJ21" s="45" t="str">
        <f t="shared" ca="1" si="9"/>
        <v/>
      </c>
      <c r="AK21" s="45" t="str">
        <f t="shared" ca="1" si="9"/>
        <v/>
      </c>
      <c r="AL21" s="45" t="str">
        <f t="shared" ca="1" si="9"/>
        <v/>
      </c>
      <c r="AM21" s="45" t="str">
        <f t="shared" ca="1" si="9"/>
        <v/>
      </c>
      <c r="AN21" s="45" t="str">
        <f t="shared" ca="1" si="9"/>
        <v/>
      </c>
      <c r="AO21" s="45" t="str">
        <f t="shared" ca="1" si="7"/>
        <v/>
      </c>
      <c r="AP21" s="45" t="str">
        <f t="shared" ca="1" si="7"/>
        <v/>
      </c>
      <c r="AQ21" s="45" t="str">
        <f t="shared" ca="1" si="7"/>
        <v/>
      </c>
      <c r="AR21" s="45" t="str">
        <f t="shared" ca="1" si="7"/>
        <v/>
      </c>
      <c r="AS21" s="45" t="str">
        <f t="shared" ca="1" si="7"/>
        <v/>
      </c>
      <c r="AT21" s="45" t="str">
        <f t="shared" ca="1" si="7"/>
        <v/>
      </c>
      <c r="AU21" s="45" t="str">
        <f t="shared" ca="1" si="7"/>
        <v/>
      </c>
      <c r="AV21" s="45" t="str">
        <f t="shared" ca="1" si="7"/>
        <v/>
      </c>
      <c r="AW21" s="45" t="str">
        <f t="shared" ca="1" si="7"/>
        <v/>
      </c>
      <c r="AX21" s="45" t="str">
        <f t="shared" ca="1" si="8"/>
        <v/>
      </c>
      <c r="AY21" s="45" t="str">
        <f t="shared" ca="1" si="8"/>
        <v/>
      </c>
      <c r="AZ21" s="45" t="str">
        <f t="shared" ca="1" si="8"/>
        <v/>
      </c>
      <c r="BA21" s="45" t="str">
        <f t="shared" ca="1" si="8"/>
        <v/>
      </c>
      <c r="BB21" s="45" t="str">
        <f t="shared" ca="1" si="8"/>
        <v/>
      </c>
      <c r="BC21" s="45" t="str">
        <f t="shared" ca="1" si="8"/>
        <v/>
      </c>
      <c r="BD21" s="45" t="str">
        <f t="shared" ca="1" si="8"/>
        <v/>
      </c>
      <c r="BE21" s="45" t="str">
        <f t="shared" ca="1" si="8"/>
        <v/>
      </c>
      <c r="BF21" s="45" t="str">
        <f t="shared" ca="1" si="8"/>
        <v/>
      </c>
      <c r="BG21" s="45" t="str">
        <f t="shared" ca="1" si="8"/>
        <v/>
      </c>
      <c r="BH21" s="45" t="str">
        <f t="shared" ca="1" si="8"/>
        <v/>
      </c>
      <c r="BI21" s="45" t="str">
        <f t="shared" ca="1" si="8"/>
        <v/>
      </c>
      <c r="BJ21" s="45" t="str">
        <f t="shared" ca="1" si="8"/>
        <v/>
      </c>
      <c r="BK21" s="45" t="str">
        <f t="shared" ca="1" si="8"/>
        <v/>
      </c>
      <c r="BL21" s="45" t="str">
        <f t="shared" ca="1" si="8"/>
        <v/>
      </c>
      <c r="BM21" s="45" t="str">
        <f t="shared" si="8"/>
        <v/>
      </c>
    </row>
    <row r="22" spans="1:65" s="1" customFormat="1" ht="40.15" customHeight="1">
      <c r="A22" s="9"/>
      <c r="B22" s="121"/>
      <c r="C22" s="21" t="s">
        <v>41</v>
      </c>
      <c r="D22" s="21"/>
      <c r="E22" s="22"/>
      <c r="F22" s="23"/>
      <c r="G22" s="24"/>
      <c r="H22" s="19"/>
      <c r="I22" s="45" t="str">
        <f t="shared" ca="1" si="5"/>
        <v/>
      </c>
      <c r="J22" s="45" t="str">
        <f t="shared" ca="1" si="5"/>
        <v/>
      </c>
      <c r="K22" s="45" t="str">
        <f t="shared" ca="1" si="5"/>
        <v/>
      </c>
      <c r="L22" s="45" t="str">
        <f t="shared" ca="1" si="5"/>
        <v/>
      </c>
      <c r="M22" s="45" t="str">
        <f t="shared" ca="1" si="5"/>
        <v/>
      </c>
      <c r="N22" s="45" t="str">
        <f t="shared" ca="1" si="5"/>
        <v/>
      </c>
      <c r="O22" s="45" t="str">
        <f t="shared" ca="1" si="5"/>
        <v/>
      </c>
      <c r="P22" s="45" t="str">
        <f t="shared" ca="1" si="5"/>
        <v/>
      </c>
      <c r="Q22" s="45" t="str">
        <f t="shared" ca="1" si="5"/>
        <v/>
      </c>
      <c r="R22" s="45" t="str">
        <f t="shared" ca="1" si="5"/>
        <v/>
      </c>
      <c r="S22" s="45" t="str">
        <f t="shared" ca="1" si="5"/>
        <v/>
      </c>
      <c r="T22" s="45" t="str">
        <f t="shared" ca="1" si="5"/>
        <v/>
      </c>
      <c r="U22" s="45" t="str">
        <f t="shared" ca="1" si="5"/>
        <v/>
      </c>
      <c r="V22" s="45" t="str">
        <f t="shared" ca="1" si="5"/>
        <v/>
      </c>
      <c r="W22" s="45" t="str">
        <f t="shared" ca="1" si="5"/>
        <v/>
      </c>
      <c r="X22" s="45" t="str">
        <f t="shared" ca="1" si="5"/>
        <v/>
      </c>
      <c r="Y22" s="45" t="str">
        <f t="shared" ca="1" si="9"/>
        <v/>
      </c>
      <c r="Z22" s="45" t="str">
        <f t="shared" ca="1" si="9"/>
        <v/>
      </c>
      <c r="AA22" s="45" t="str">
        <f t="shared" ca="1" si="9"/>
        <v/>
      </c>
      <c r="AB22" s="45" t="str">
        <f t="shared" ca="1" si="9"/>
        <v/>
      </c>
      <c r="AC22" s="45" t="str">
        <f t="shared" ca="1" si="9"/>
        <v/>
      </c>
      <c r="AD22" s="45" t="str">
        <f t="shared" ca="1" si="9"/>
        <v/>
      </c>
      <c r="AE22" s="45" t="str">
        <f t="shared" ca="1" si="9"/>
        <v/>
      </c>
      <c r="AF22" s="45" t="str">
        <f t="shared" ca="1" si="9"/>
        <v/>
      </c>
      <c r="AG22" s="45" t="str">
        <f t="shared" ca="1" si="9"/>
        <v/>
      </c>
      <c r="AH22" s="45" t="str">
        <f t="shared" ca="1" si="9"/>
        <v/>
      </c>
      <c r="AI22" s="45" t="str">
        <f t="shared" ca="1" si="9"/>
        <v/>
      </c>
      <c r="AJ22" s="45" t="str">
        <f t="shared" ca="1" si="9"/>
        <v/>
      </c>
      <c r="AK22" s="45" t="str">
        <f t="shared" ca="1" si="9"/>
        <v/>
      </c>
      <c r="AL22" s="45" t="str">
        <f t="shared" ca="1" si="9"/>
        <v/>
      </c>
      <c r="AM22" s="45" t="str">
        <f t="shared" ca="1" si="9"/>
        <v/>
      </c>
      <c r="AN22" s="45" t="str">
        <f t="shared" ca="1" si="9"/>
        <v/>
      </c>
      <c r="AO22" s="45" t="str">
        <f t="shared" ca="1" si="7"/>
        <v/>
      </c>
      <c r="AP22" s="45" t="str">
        <f t="shared" ca="1" si="7"/>
        <v/>
      </c>
      <c r="AQ22" s="45" t="str">
        <f t="shared" ca="1" si="7"/>
        <v/>
      </c>
      <c r="AR22" s="45" t="str">
        <f t="shared" ca="1" si="7"/>
        <v/>
      </c>
      <c r="AS22" s="45" t="str">
        <f t="shared" ca="1" si="7"/>
        <v/>
      </c>
      <c r="AT22" s="45" t="str">
        <f t="shared" ca="1" si="7"/>
        <v/>
      </c>
      <c r="AU22" s="45" t="str">
        <f t="shared" ca="1" si="7"/>
        <v/>
      </c>
      <c r="AV22" s="45" t="str">
        <f t="shared" ca="1" si="7"/>
        <v/>
      </c>
      <c r="AW22" s="45" t="str">
        <f t="shared" ca="1" si="7"/>
        <v/>
      </c>
      <c r="AX22" s="45" t="str">
        <f t="shared" ca="1" si="8"/>
        <v/>
      </c>
      <c r="AY22" s="45" t="str">
        <f t="shared" ca="1" si="8"/>
        <v/>
      </c>
      <c r="AZ22" s="45" t="str">
        <f t="shared" ca="1" si="8"/>
        <v/>
      </c>
      <c r="BA22" s="45" t="str">
        <f t="shared" ca="1" si="8"/>
        <v/>
      </c>
      <c r="BB22" s="45" t="str">
        <f t="shared" ca="1" si="8"/>
        <v/>
      </c>
      <c r="BC22" s="45" t="str">
        <f t="shared" ca="1" si="8"/>
        <v/>
      </c>
      <c r="BD22" s="45" t="str">
        <f t="shared" ca="1" si="8"/>
        <v/>
      </c>
      <c r="BE22" s="45" t="str">
        <f t="shared" ca="1" si="8"/>
        <v/>
      </c>
      <c r="BF22" s="45" t="str">
        <f t="shared" ca="1" si="8"/>
        <v/>
      </c>
      <c r="BG22" s="45" t="str">
        <f t="shared" ca="1" si="8"/>
        <v/>
      </c>
      <c r="BH22" s="45" t="str">
        <f t="shared" ca="1" si="8"/>
        <v/>
      </c>
      <c r="BI22" s="45" t="str">
        <f t="shared" ca="1" si="8"/>
        <v/>
      </c>
      <c r="BJ22" s="45" t="str">
        <f t="shared" ca="1" si="8"/>
        <v/>
      </c>
      <c r="BK22" s="45" t="str">
        <f t="shared" ca="1" si="8"/>
        <v/>
      </c>
      <c r="BL22" s="45" t="str">
        <f t="shared" ca="1" si="8"/>
        <v/>
      </c>
      <c r="BM22" s="45" t="str">
        <f t="shared" si="8"/>
        <v/>
      </c>
    </row>
    <row r="23" spans="1:65" s="1" customFormat="1" ht="40.15" customHeight="1">
      <c r="A23" s="9"/>
      <c r="B23" s="121"/>
      <c r="C23" s="21" t="s">
        <v>42</v>
      </c>
      <c r="D23" s="21"/>
      <c r="E23" s="22"/>
      <c r="F23" s="23"/>
      <c r="G23" s="24"/>
      <c r="H23" s="19"/>
      <c r="I23" s="45" t="str">
        <f t="shared" ca="1" si="5"/>
        <v/>
      </c>
      <c r="J23" s="45" t="str">
        <f t="shared" ca="1" si="5"/>
        <v/>
      </c>
      <c r="K23" s="45" t="str">
        <f t="shared" ca="1" si="5"/>
        <v/>
      </c>
      <c r="L23" s="45" t="str">
        <f t="shared" ca="1" si="5"/>
        <v/>
      </c>
      <c r="M23" s="45" t="str">
        <f t="shared" ca="1" si="5"/>
        <v/>
      </c>
      <c r="N23" s="45" t="str">
        <f t="shared" ca="1" si="5"/>
        <v/>
      </c>
      <c r="O23" s="45" t="str">
        <f t="shared" ca="1" si="5"/>
        <v/>
      </c>
      <c r="P23" s="45" t="str">
        <f t="shared" ca="1" si="5"/>
        <v/>
      </c>
      <c r="Q23" s="45" t="str">
        <f t="shared" ca="1" si="5"/>
        <v/>
      </c>
      <c r="R23" s="45" t="str">
        <f t="shared" ca="1" si="5"/>
        <v/>
      </c>
      <c r="S23" s="45" t="str">
        <f t="shared" ca="1" si="5"/>
        <v/>
      </c>
      <c r="T23" s="45" t="str">
        <f t="shared" ca="1" si="5"/>
        <v/>
      </c>
      <c r="U23" s="45" t="str">
        <f t="shared" ca="1" si="5"/>
        <v/>
      </c>
      <c r="V23" s="45" t="str">
        <f t="shared" ca="1" si="5"/>
        <v/>
      </c>
      <c r="W23" s="45" t="str">
        <f t="shared" ca="1" si="5"/>
        <v/>
      </c>
      <c r="X23" s="45" t="str">
        <f t="shared" ca="1" si="5"/>
        <v/>
      </c>
      <c r="Y23" s="45" t="str">
        <f t="shared" ca="1" si="9"/>
        <v/>
      </c>
      <c r="Z23" s="45" t="str">
        <f t="shared" ca="1" si="9"/>
        <v/>
      </c>
      <c r="AA23" s="45" t="str">
        <f t="shared" ca="1" si="9"/>
        <v/>
      </c>
      <c r="AB23" s="45" t="str">
        <f t="shared" ca="1" si="9"/>
        <v/>
      </c>
      <c r="AC23" s="45" t="str">
        <f t="shared" ca="1" si="9"/>
        <v/>
      </c>
      <c r="AD23" s="45" t="str">
        <f t="shared" ca="1" si="9"/>
        <v/>
      </c>
      <c r="AE23" s="45" t="str">
        <f t="shared" ca="1" si="9"/>
        <v/>
      </c>
      <c r="AF23" s="45" t="str">
        <f t="shared" ca="1" si="9"/>
        <v/>
      </c>
      <c r="AG23" s="45" t="str">
        <f t="shared" ca="1" si="9"/>
        <v/>
      </c>
      <c r="AH23" s="45" t="str">
        <f t="shared" ca="1" si="9"/>
        <v/>
      </c>
      <c r="AI23" s="45" t="str">
        <f t="shared" ca="1" si="9"/>
        <v/>
      </c>
      <c r="AJ23" s="45" t="str">
        <f t="shared" ca="1" si="9"/>
        <v/>
      </c>
      <c r="AK23" s="45" t="str">
        <f t="shared" ca="1" si="9"/>
        <v/>
      </c>
      <c r="AL23" s="45" t="str">
        <f t="shared" ca="1" si="9"/>
        <v/>
      </c>
      <c r="AM23" s="45" t="str">
        <f t="shared" ca="1" si="9"/>
        <v/>
      </c>
      <c r="AN23" s="45" t="str">
        <f t="shared" ca="1" si="9"/>
        <v/>
      </c>
      <c r="AO23" s="45" t="str">
        <f t="shared" ca="1" si="7"/>
        <v/>
      </c>
      <c r="AP23" s="45" t="str">
        <f t="shared" ca="1" si="7"/>
        <v/>
      </c>
      <c r="AQ23" s="45" t="str">
        <f t="shared" ca="1" si="7"/>
        <v/>
      </c>
      <c r="AR23" s="45" t="str">
        <f t="shared" ca="1" si="7"/>
        <v/>
      </c>
      <c r="AS23" s="45" t="str">
        <f t="shared" ca="1" si="7"/>
        <v/>
      </c>
      <c r="AT23" s="45" t="str">
        <f t="shared" ca="1" si="7"/>
        <v/>
      </c>
      <c r="AU23" s="45" t="str">
        <f t="shared" ca="1" si="7"/>
        <v/>
      </c>
      <c r="AV23" s="45" t="str">
        <f t="shared" ca="1" si="7"/>
        <v/>
      </c>
      <c r="AW23" s="45" t="str">
        <f t="shared" ca="1" si="7"/>
        <v/>
      </c>
      <c r="AX23" s="45" t="str">
        <f t="shared" ca="1" si="8"/>
        <v/>
      </c>
      <c r="AY23" s="45" t="str">
        <f t="shared" ca="1" si="8"/>
        <v/>
      </c>
      <c r="AZ23" s="45" t="str">
        <f t="shared" ca="1" si="8"/>
        <v/>
      </c>
      <c r="BA23" s="45" t="str">
        <f t="shared" ca="1" si="8"/>
        <v/>
      </c>
      <c r="BB23" s="45" t="str">
        <f t="shared" ca="1" si="8"/>
        <v/>
      </c>
      <c r="BC23" s="45" t="str">
        <f t="shared" ca="1" si="8"/>
        <v/>
      </c>
      <c r="BD23" s="45" t="str">
        <f t="shared" ca="1" si="8"/>
        <v/>
      </c>
      <c r="BE23" s="45" t="str">
        <f t="shared" ca="1" si="8"/>
        <v/>
      </c>
      <c r="BF23" s="45" t="str">
        <f t="shared" ca="1" si="8"/>
        <v/>
      </c>
      <c r="BG23" s="45" t="str">
        <f t="shared" ca="1" si="8"/>
        <v/>
      </c>
      <c r="BH23" s="45" t="str">
        <f t="shared" ca="1" si="8"/>
        <v/>
      </c>
      <c r="BI23" s="45" t="str">
        <f t="shared" ca="1" si="8"/>
        <v/>
      </c>
      <c r="BJ23" s="45" t="str">
        <f t="shared" ca="1" si="8"/>
        <v/>
      </c>
      <c r="BK23" s="45" t="str">
        <f t="shared" ca="1" si="8"/>
        <v/>
      </c>
      <c r="BL23" s="45" t="str">
        <f t="shared" ca="1" si="8"/>
        <v/>
      </c>
      <c r="BM23" s="45" t="str">
        <f t="shared" si="8"/>
        <v/>
      </c>
    </row>
    <row r="24" spans="1:65" s="1" customFormat="1" ht="40.15" customHeight="1">
      <c r="A24" s="9"/>
      <c r="B24" s="121"/>
      <c r="C24" s="21" t="s">
        <v>41</v>
      </c>
      <c r="D24" s="21"/>
      <c r="E24" s="22"/>
      <c r="F24" s="23"/>
      <c r="G24" s="24"/>
      <c r="H24" s="19"/>
      <c r="I24" s="45" t="str">
        <f t="shared" ca="1" si="5"/>
        <v/>
      </c>
      <c r="J24" s="45" t="str">
        <f t="shared" ca="1" si="5"/>
        <v/>
      </c>
      <c r="K24" s="45" t="str">
        <f t="shared" ca="1" si="5"/>
        <v/>
      </c>
      <c r="L24" s="45" t="str">
        <f t="shared" ca="1" si="5"/>
        <v/>
      </c>
      <c r="M24" s="45" t="str">
        <f t="shared" ca="1" si="5"/>
        <v/>
      </c>
      <c r="N24" s="45" t="str">
        <f t="shared" ca="1" si="5"/>
        <v/>
      </c>
      <c r="O24" s="45" t="str">
        <f t="shared" ca="1" si="5"/>
        <v/>
      </c>
      <c r="P24" s="45" t="str">
        <f t="shared" ca="1" si="5"/>
        <v/>
      </c>
      <c r="Q24" s="45" t="str">
        <f t="shared" ca="1" si="5"/>
        <v/>
      </c>
      <c r="R24" s="45" t="str">
        <f t="shared" ca="1" si="5"/>
        <v/>
      </c>
      <c r="S24" s="45" t="str">
        <f t="shared" ca="1" si="5"/>
        <v/>
      </c>
      <c r="T24" s="45" t="str">
        <f t="shared" ca="1" si="5"/>
        <v/>
      </c>
      <c r="U24" s="45" t="str">
        <f t="shared" ca="1" si="5"/>
        <v/>
      </c>
      <c r="V24" s="45" t="str">
        <f t="shared" ca="1" si="5"/>
        <v/>
      </c>
      <c r="W24" s="45" t="str">
        <f t="shared" ca="1" si="5"/>
        <v/>
      </c>
      <c r="X24" s="45" t="str">
        <f t="shared" ca="1" si="5"/>
        <v/>
      </c>
      <c r="Y24" s="45" t="str">
        <f t="shared" ca="1" si="9"/>
        <v/>
      </c>
      <c r="Z24" s="45" t="str">
        <f t="shared" ca="1" si="9"/>
        <v/>
      </c>
      <c r="AA24" s="45" t="str">
        <f t="shared" ca="1" si="9"/>
        <v/>
      </c>
      <c r="AB24" s="45" t="str">
        <f t="shared" ca="1" si="9"/>
        <v/>
      </c>
      <c r="AC24" s="45" t="str">
        <f t="shared" ca="1" si="9"/>
        <v/>
      </c>
      <c r="AD24" s="45" t="str">
        <f t="shared" ca="1" si="9"/>
        <v/>
      </c>
      <c r="AE24" s="45" t="str">
        <f t="shared" ca="1" si="9"/>
        <v/>
      </c>
      <c r="AF24" s="45" t="str">
        <f t="shared" ca="1" si="9"/>
        <v/>
      </c>
      <c r="AG24" s="45" t="str">
        <f t="shared" ca="1" si="9"/>
        <v/>
      </c>
      <c r="AH24" s="45" t="str">
        <f t="shared" ca="1" si="9"/>
        <v/>
      </c>
      <c r="AI24" s="45" t="str">
        <f t="shared" ca="1" si="9"/>
        <v/>
      </c>
      <c r="AJ24" s="45" t="str">
        <f t="shared" ca="1" si="9"/>
        <v/>
      </c>
      <c r="AK24" s="45" t="str">
        <f t="shared" ca="1" si="9"/>
        <v/>
      </c>
      <c r="AL24" s="45" t="str">
        <f t="shared" ca="1" si="9"/>
        <v/>
      </c>
      <c r="AM24" s="45" t="str">
        <f t="shared" ca="1" si="9"/>
        <v/>
      </c>
      <c r="AN24" s="45" t="str">
        <f t="shared" ca="1" si="9"/>
        <v/>
      </c>
      <c r="AO24" s="45" t="str">
        <f t="shared" ca="1" si="7"/>
        <v/>
      </c>
      <c r="AP24" s="45" t="str">
        <f t="shared" ca="1" si="7"/>
        <v/>
      </c>
      <c r="AQ24" s="45" t="str">
        <f t="shared" ca="1" si="7"/>
        <v/>
      </c>
      <c r="AR24" s="45" t="str">
        <f t="shared" ca="1" si="7"/>
        <v/>
      </c>
      <c r="AS24" s="45" t="str">
        <f t="shared" ca="1" si="7"/>
        <v/>
      </c>
      <c r="AT24" s="45" t="str">
        <f t="shared" ca="1" si="7"/>
        <v/>
      </c>
      <c r="AU24" s="45" t="str">
        <f t="shared" ca="1" si="7"/>
        <v/>
      </c>
      <c r="AV24" s="45" t="str">
        <f t="shared" ca="1" si="7"/>
        <v/>
      </c>
      <c r="AW24" s="45" t="str">
        <f t="shared" ca="1" si="7"/>
        <v/>
      </c>
      <c r="AX24" s="45" t="str">
        <f t="shared" ca="1" si="8"/>
        <v/>
      </c>
      <c r="AY24" s="45" t="str">
        <f t="shared" ca="1" si="8"/>
        <v/>
      </c>
      <c r="AZ24" s="45" t="str">
        <f t="shared" ca="1" si="8"/>
        <v/>
      </c>
      <c r="BA24" s="45" t="str">
        <f t="shared" ca="1" si="8"/>
        <v/>
      </c>
      <c r="BB24" s="45" t="str">
        <f t="shared" ca="1" si="8"/>
        <v/>
      </c>
      <c r="BC24" s="45" t="str">
        <f t="shared" ca="1" si="8"/>
        <v/>
      </c>
      <c r="BD24" s="45" t="str">
        <f t="shared" ca="1" si="8"/>
        <v/>
      </c>
      <c r="BE24" s="45" t="str">
        <f t="shared" ca="1" si="8"/>
        <v/>
      </c>
      <c r="BF24" s="45" t="str">
        <f t="shared" ca="1" si="8"/>
        <v/>
      </c>
      <c r="BG24" s="45" t="str">
        <f t="shared" ca="1" si="8"/>
        <v/>
      </c>
      <c r="BH24" s="45" t="str">
        <f t="shared" ca="1" si="8"/>
        <v/>
      </c>
      <c r="BI24" s="45" t="str">
        <f t="shared" ca="1" si="8"/>
        <v/>
      </c>
      <c r="BJ24" s="45" t="str">
        <f t="shared" ca="1" si="8"/>
        <v/>
      </c>
      <c r="BK24" s="45" t="str">
        <f t="shared" ca="1" si="8"/>
        <v/>
      </c>
      <c r="BL24" s="45" t="str">
        <f t="shared" ca="1" si="8"/>
        <v/>
      </c>
      <c r="BM24" s="45" t="str">
        <f t="shared" si="8"/>
        <v/>
      </c>
    </row>
    <row r="25" spans="1:65" s="1" customFormat="1" ht="40.15" customHeight="1">
      <c r="A25" s="9"/>
      <c r="B25" s="121"/>
      <c r="C25" s="21" t="s">
        <v>42</v>
      </c>
      <c r="D25" s="21"/>
      <c r="E25" s="22"/>
      <c r="F25" s="23"/>
      <c r="G25" s="24"/>
      <c r="H25" s="19"/>
      <c r="I25" s="45" t="str">
        <f t="shared" ca="1" si="5"/>
        <v/>
      </c>
      <c r="J25" s="45" t="str">
        <f t="shared" ca="1" si="5"/>
        <v/>
      </c>
      <c r="K25" s="45" t="str">
        <f t="shared" ca="1" si="5"/>
        <v/>
      </c>
      <c r="L25" s="45" t="str">
        <f t="shared" ca="1" si="5"/>
        <v/>
      </c>
      <c r="M25" s="45" t="str">
        <f t="shared" ca="1" si="5"/>
        <v/>
      </c>
      <c r="N25" s="45" t="str">
        <f t="shared" ca="1" si="5"/>
        <v/>
      </c>
      <c r="O25" s="45" t="str">
        <f t="shared" ca="1" si="5"/>
        <v/>
      </c>
      <c r="P25" s="45" t="str">
        <f t="shared" ca="1" si="5"/>
        <v/>
      </c>
      <c r="Q25" s="45" t="str">
        <f t="shared" ca="1" si="5"/>
        <v/>
      </c>
      <c r="R25" s="45" t="str">
        <f t="shared" ca="1" si="5"/>
        <v/>
      </c>
      <c r="S25" s="45" t="str">
        <f t="shared" ca="1" si="5"/>
        <v/>
      </c>
      <c r="T25" s="45" t="str">
        <f t="shared" ca="1" si="5"/>
        <v/>
      </c>
      <c r="U25" s="45" t="str">
        <f t="shared" ca="1" si="5"/>
        <v/>
      </c>
      <c r="V25" s="45" t="str">
        <f t="shared" ca="1" si="5"/>
        <v/>
      </c>
      <c r="W25" s="45" t="str">
        <f t="shared" ref="I25:X35" ca="1" si="10">IF(AND($C25="Ziel",W$7&gt;=$F25,W$7&lt;=$F25+$G25-1),2,IF(AND($C25="Meilenstein",W$7&gt;=$F25,W$7&lt;=$F25+$G25-1),1,""))</f>
        <v/>
      </c>
      <c r="X25" s="45" t="str">
        <f t="shared" ca="1" si="10"/>
        <v/>
      </c>
      <c r="Y25" s="45" t="str">
        <f t="shared" ca="1" si="9"/>
        <v/>
      </c>
      <c r="Z25" s="45" t="str">
        <f t="shared" ca="1" si="9"/>
        <v/>
      </c>
      <c r="AA25" s="45" t="str">
        <f t="shared" ca="1" si="9"/>
        <v/>
      </c>
      <c r="AB25" s="45" t="str">
        <f t="shared" ca="1" si="9"/>
        <v/>
      </c>
      <c r="AC25" s="45" t="str">
        <f t="shared" ca="1" si="9"/>
        <v/>
      </c>
      <c r="AD25" s="45" t="str">
        <f t="shared" ca="1" si="9"/>
        <v/>
      </c>
      <c r="AE25" s="45" t="str">
        <f t="shared" ca="1" si="9"/>
        <v/>
      </c>
      <c r="AF25" s="45" t="str">
        <f t="shared" ca="1" si="9"/>
        <v/>
      </c>
      <c r="AG25" s="45" t="str">
        <f t="shared" ca="1" si="9"/>
        <v/>
      </c>
      <c r="AH25" s="45" t="str">
        <f t="shared" ca="1" si="9"/>
        <v/>
      </c>
      <c r="AI25" s="45" t="str">
        <f t="shared" ca="1" si="9"/>
        <v/>
      </c>
      <c r="AJ25" s="45" t="str">
        <f t="shared" ca="1" si="9"/>
        <v/>
      </c>
      <c r="AK25" s="45" t="str">
        <f t="shared" ca="1" si="9"/>
        <v/>
      </c>
      <c r="AL25" s="45" t="str">
        <f t="shared" ca="1" si="9"/>
        <v/>
      </c>
      <c r="AM25" s="45" t="str">
        <f t="shared" ca="1" si="9"/>
        <v/>
      </c>
      <c r="AN25" s="45" t="str">
        <f t="shared" ca="1" si="9"/>
        <v/>
      </c>
      <c r="AO25" s="45" t="str">
        <f t="shared" ca="1" si="7"/>
        <v/>
      </c>
      <c r="AP25" s="45" t="str">
        <f t="shared" ca="1" si="7"/>
        <v/>
      </c>
      <c r="AQ25" s="45" t="str">
        <f t="shared" ca="1" si="7"/>
        <v/>
      </c>
      <c r="AR25" s="45" t="str">
        <f t="shared" ca="1" si="7"/>
        <v/>
      </c>
      <c r="AS25" s="45" t="str">
        <f t="shared" ca="1" si="7"/>
        <v/>
      </c>
      <c r="AT25" s="45" t="str">
        <f t="shared" ca="1" si="7"/>
        <v/>
      </c>
      <c r="AU25" s="45" t="str">
        <f t="shared" ca="1" si="7"/>
        <v/>
      </c>
      <c r="AV25" s="45" t="str">
        <f t="shared" ca="1" si="7"/>
        <v/>
      </c>
      <c r="AW25" s="45" t="str">
        <f t="shared" ca="1" si="7"/>
        <v/>
      </c>
      <c r="AX25" s="45" t="str">
        <f t="shared" ca="1" si="8"/>
        <v/>
      </c>
      <c r="AY25" s="45" t="str">
        <f t="shared" ca="1" si="8"/>
        <v/>
      </c>
      <c r="AZ25" s="45" t="str">
        <f t="shared" ca="1" si="8"/>
        <v/>
      </c>
      <c r="BA25" s="45" t="str">
        <f t="shared" ca="1" si="8"/>
        <v/>
      </c>
      <c r="BB25" s="45" t="str">
        <f t="shared" ca="1" si="8"/>
        <v/>
      </c>
      <c r="BC25" s="45" t="str">
        <f t="shared" ca="1" si="8"/>
        <v/>
      </c>
      <c r="BD25" s="45" t="str">
        <f t="shared" ca="1" si="8"/>
        <v/>
      </c>
      <c r="BE25" s="45" t="str">
        <f t="shared" ca="1" si="8"/>
        <v/>
      </c>
      <c r="BF25" s="45" t="str">
        <f t="shared" ca="1" si="8"/>
        <v/>
      </c>
      <c r="BG25" s="45" t="str">
        <f t="shared" ca="1" si="8"/>
        <v/>
      </c>
      <c r="BH25" s="45" t="str">
        <f t="shared" ca="1" si="8"/>
        <v/>
      </c>
      <c r="BI25" s="45" t="str">
        <f t="shared" ca="1" si="8"/>
        <v/>
      </c>
      <c r="BJ25" s="45" t="str">
        <f t="shared" ca="1" si="8"/>
        <v/>
      </c>
      <c r="BK25" s="45" t="str">
        <f t="shared" ca="1" si="8"/>
        <v/>
      </c>
      <c r="BL25" s="45" t="str">
        <f t="shared" ca="1" si="8"/>
        <v/>
      </c>
      <c r="BM25" s="45" t="str">
        <f t="shared" si="8"/>
        <v/>
      </c>
    </row>
    <row r="26" spans="1:65" s="1" customFormat="1" ht="40.15" customHeight="1">
      <c r="A26" s="9"/>
      <c r="B26" s="121"/>
      <c r="C26" s="21" t="s">
        <v>41</v>
      </c>
      <c r="D26" s="21"/>
      <c r="E26" s="22"/>
      <c r="F26" s="23"/>
      <c r="G26" s="24"/>
      <c r="H26" s="19"/>
      <c r="I26" s="45" t="str">
        <f t="shared" ca="1" si="10"/>
        <v/>
      </c>
      <c r="J26" s="45" t="str">
        <f t="shared" ca="1" si="10"/>
        <v/>
      </c>
      <c r="K26" s="45" t="str">
        <f t="shared" ca="1" si="10"/>
        <v/>
      </c>
      <c r="L26" s="45" t="str">
        <f t="shared" ca="1" si="10"/>
        <v/>
      </c>
      <c r="M26" s="45" t="str">
        <f t="shared" ca="1" si="10"/>
        <v/>
      </c>
      <c r="N26" s="45" t="str">
        <f t="shared" ca="1" si="10"/>
        <v/>
      </c>
      <c r="O26" s="45" t="str">
        <f t="shared" ca="1" si="10"/>
        <v/>
      </c>
      <c r="P26" s="45" t="str">
        <f t="shared" ca="1" si="10"/>
        <v/>
      </c>
      <c r="Q26" s="45" t="str">
        <f t="shared" ca="1" si="10"/>
        <v/>
      </c>
      <c r="R26" s="45" t="str">
        <f t="shared" ca="1" si="10"/>
        <v/>
      </c>
      <c r="S26" s="45" t="str">
        <f t="shared" ca="1" si="10"/>
        <v/>
      </c>
      <c r="T26" s="45" t="str">
        <f t="shared" ca="1" si="10"/>
        <v/>
      </c>
      <c r="U26" s="45" t="str">
        <f t="shared" ca="1" si="10"/>
        <v/>
      </c>
      <c r="V26" s="45" t="str">
        <f t="shared" ca="1" si="10"/>
        <v/>
      </c>
      <c r="W26" s="45" t="str">
        <f t="shared" ca="1" si="10"/>
        <v/>
      </c>
      <c r="X26" s="45" t="str">
        <f t="shared" ca="1" si="10"/>
        <v/>
      </c>
      <c r="Y26" s="45" t="str">
        <f t="shared" ca="1" si="9"/>
        <v/>
      </c>
      <c r="Z26" s="45" t="str">
        <f t="shared" ca="1" si="9"/>
        <v/>
      </c>
      <c r="AA26" s="45" t="str">
        <f t="shared" ca="1" si="9"/>
        <v/>
      </c>
      <c r="AB26" s="45" t="str">
        <f t="shared" ca="1" si="9"/>
        <v/>
      </c>
      <c r="AC26" s="45" t="str">
        <f t="shared" ca="1" si="9"/>
        <v/>
      </c>
      <c r="AD26" s="45" t="str">
        <f t="shared" ca="1" si="9"/>
        <v/>
      </c>
      <c r="AE26" s="45" t="str">
        <f t="shared" ca="1" si="9"/>
        <v/>
      </c>
      <c r="AF26" s="45" t="str">
        <f t="shared" ca="1" si="9"/>
        <v/>
      </c>
      <c r="AG26" s="45" t="str">
        <f t="shared" ca="1" si="9"/>
        <v/>
      </c>
      <c r="AH26" s="45" t="str">
        <f t="shared" ca="1" si="9"/>
        <v/>
      </c>
      <c r="AI26" s="45" t="str">
        <f t="shared" ca="1" si="9"/>
        <v/>
      </c>
      <c r="AJ26" s="45" t="str">
        <f t="shared" ca="1" si="9"/>
        <v/>
      </c>
      <c r="AK26" s="45" t="str">
        <f t="shared" ca="1" si="9"/>
        <v/>
      </c>
      <c r="AL26" s="45" t="str">
        <f t="shared" ca="1" si="9"/>
        <v/>
      </c>
      <c r="AM26" s="45" t="str">
        <f t="shared" ca="1" si="9"/>
        <v/>
      </c>
      <c r="AN26" s="45" t="str">
        <f t="shared" ca="1" si="9"/>
        <v/>
      </c>
      <c r="AO26" s="45" t="str">
        <f t="shared" ca="1" si="7"/>
        <v/>
      </c>
      <c r="AP26" s="45" t="str">
        <f t="shared" ca="1" si="7"/>
        <v/>
      </c>
      <c r="AQ26" s="45" t="str">
        <f t="shared" ca="1" si="7"/>
        <v/>
      </c>
      <c r="AR26" s="45" t="str">
        <f t="shared" ca="1" si="7"/>
        <v/>
      </c>
      <c r="AS26" s="45" t="str">
        <f t="shared" ca="1" si="7"/>
        <v/>
      </c>
      <c r="AT26" s="45" t="str">
        <f t="shared" ca="1" si="7"/>
        <v/>
      </c>
      <c r="AU26" s="45" t="str">
        <f t="shared" ca="1" si="7"/>
        <v/>
      </c>
      <c r="AV26" s="45" t="str">
        <f t="shared" ca="1" si="7"/>
        <v/>
      </c>
      <c r="AW26" s="45" t="str">
        <f t="shared" ca="1" si="7"/>
        <v/>
      </c>
      <c r="AX26" s="45" t="str">
        <f t="shared" ca="1" si="8"/>
        <v/>
      </c>
      <c r="AY26" s="45" t="str">
        <f t="shared" ca="1" si="8"/>
        <v/>
      </c>
      <c r="AZ26" s="45" t="str">
        <f t="shared" ca="1" si="8"/>
        <v/>
      </c>
      <c r="BA26" s="45" t="str">
        <f t="shared" ca="1" si="8"/>
        <v/>
      </c>
      <c r="BB26" s="45" t="str">
        <f t="shared" ca="1" si="8"/>
        <v/>
      </c>
      <c r="BC26" s="45" t="str">
        <f t="shared" ca="1" si="8"/>
        <v/>
      </c>
      <c r="BD26" s="45" t="str">
        <f t="shared" ca="1" si="8"/>
        <v/>
      </c>
      <c r="BE26" s="45" t="str">
        <f t="shared" ca="1" si="8"/>
        <v/>
      </c>
      <c r="BF26" s="45" t="str">
        <f t="shared" ca="1" si="8"/>
        <v/>
      </c>
      <c r="BG26" s="45" t="str">
        <f t="shared" ca="1" si="8"/>
        <v/>
      </c>
      <c r="BH26" s="45" t="str">
        <f t="shared" ca="1" si="8"/>
        <v/>
      </c>
      <c r="BI26" s="45" t="str">
        <f t="shared" ca="1" si="8"/>
        <v/>
      </c>
      <c r="BJ26" s="45" t="str">
        <f t="shared" ca="1" si="8"/>
        <v/>
      </c>
      <c r="BK26" s="45" t="str">
        <f t="shared" ca="1" si="8"/>
        <v/>
      </c>
      <c r="BL26" s="45" t="str">
        <f t="shared" ca="1" si="8"/>
        <v/>
      </c>
      <c r="BM26" s="45" t="str">
        <f t="shared" si="8"/>
        <v/>
      </c>
    </row>
    <row r="27" spans="1:65" s="1" customFormat="1" ht="40.15" customHeight="1">
      <c r="A27" s="9"/>
      <c r="B27" s="121"/>
      <c r="C27" s="21" t="s">
        <v>42</v>
      </c>
      <c r="D27" s="21"/>
      <c r="E27" s="22"/>
      <c r="F27" s="23"/>
      <c r="G27" s="24"/>
      <c r="H27" s="19"/>
      <c r="I27" s="45" t="str">
        <f t="shared" ca="1" si="10"/>
        <v/>
      </c>
      <c r="J27" s="45" t="str">
        <f t="shared" ca="1" si="10"/>
        <v/>
      </c>
      <c r="K27" s="45" t="str">
        <f t="shared" ca="1" si="10"/>
        <v/>
      </c>
      <c r="L27" s="45" t="str">
        <f t="shared" ca="1" si="10"/>
        <v/>
      </c>
      <c r="M27" s="45" t="str">
        <f t="shared" ca="1" si="10"/>
        <v/>
      </c>
      <c r="N27" s="45" t="str">
        <f t="shared" ca="1" si="10"/>
        <v/>
      </c>
      <c r="O27" s="45" t="str">
        <f t="shared" ca="1" si="10"/>
        <v/>
      </c>
      <c r="P27" s="45" t="str">
        <f t="shared" ca="1" si="10"/>
        <v/>
      </c>
      <c r="Q27" s="45" t="str">
        <f t="shared" ca="1" si="10"/>
        <v/>
      </c>
      <c r="R27" s="45" t="str">
        <f t="shared" ca="1" si="10"/>
        <v/>
      </c>
      <c r="S27" s="45" t="str">
        <f t="shared" ca="1" si="10"/>
        <v/>
      </c>
      <c r="T27" s="45" t="str">
        <f t="shared" ca="1" si="10"/>
        <v/>
      </c>
      <c r="U27" s="45" t="str">
        <f t="shared" ca="1" si="10"/>
        <v/>
      </c>
      <c r="V27" s="45" t="str">
        <f t="shared" ca="1" si="10"/>
        <v/>
      </c>
      <c r="W27" s="45" t="str">
        <f t="shared" ca="1" si="10"/>
        <v/>
      </c>
      <c r="X27" s="45" t="str">
        <f t="shared" ca="1" si="10"/>
        <v/>
      </c>
      <c r="Y27" s="45" t="str">
        <f t="shared" ca="1" si="9"/>
        <v/>
      </c>
      <c r="Z27" s="45" t="str">
        <f t="shared" ca="1" si="9"/>
        <v/>
      </c>
      <c r="AA27" s="45" t="str">
        <f t="shared" ca="1" si="9"/>
        <v/>
      </c>
      <c r="AB27" s="45" t="str">
        <f t="shared" ca="1" si="9"/>
        <v/>
      </c>
      <c r="AC27" s="45" t="str">
        <f t="shared" ca="1" si="9"/>
        <v/>
      </c>
      <c r="AD27" s="45" t="str">
        <f t="shared" ca="1" si="9"/>
        <v/>
      </c>
      <c r="AE27" s="45" t="str">
        <f t="shared" ca="1" si="9"/>
        <v/>
      </c>
      <c r="AF27" s="45" t="str">
        <f t="shared" ca="1" si="9"/>
        <v/>
      </c>
      <c r="AG27" s="45" t="str">
        <f t="shared" ca="1" si="9"/>
        <v/>
      </c>
      <c r="AH27" s="45" t="str">
        <f t="shared" ca="1" si="9"/>
        <v/>
      </c>
      <c r="AI27" s="45" t="str">
        <f t="shared" ca="1" si="9"/>
        <v/>
      </c>
      <c r="AJ27" s="45" t="str">
        <f t="shared" ca="1" si="9"/>
        <v/>
      </c>
      <c r="AK27" s="45" t="str">
        <f t="shared" ca="1" si="9"/>
        <v/>
      </c>
      <c r="AL27" s="45" t="str">
        <f t="shared" ca="1" si="9"/>
        <v/>
      </c>
      <c r="AM27" s="45" t="str">
        <f t="shared" ca="1" si="9"/>
        <v/>
      </c>
      <c r="AN27" s="45" t="str">
        <f t="shared" ca="1" si="9"/>
        <v/>
      </c>
      <c r="AO27" s="45" t="str">
        <f t="shared" ca="1" si="7"/>
        <v/>
      </c>
      <c r="AP27" s="45" t="str">
        <f t="shared" ca="1" si="7"/>
        <v/>
      </c>
      <c r="AQ27" s="45" t="str">
        <f t="shared" ca="1" si="7"/>
        <v/>
      </c>
      <c r="AR27" s="45" t="str">
        <f t="shared" ca="1" si="7"/>
        <v/>
      </c>
      <c r="AS27" s="45" t="str">
        <f t="shared" ca="1" si="7"/>
        <v/>
      </c>
      <c r="AT27" s="45" t="str">
        <f t="shared" ca="1" si="7"/>
        <v/>
      </c>
      <c r="AU27" s="45" t="str">
        <f t="shared" ca="1" si="7"/>
        <v/>
      </c>
      <c r="AV27" s="45" t="str">
        <f t="shared" ca="1" si="7"/>
        <v/>
      </c>
      <c r="AW27" s="45" t="str">
        <f t="shared" ca="1" si="7"/>
        <v/>
      </c>
      <c r="AX27" s="45" t="str">
        <f t="shared" ca="1" si="8"/>
        <v/>
      </c>
      <c r="AY27" s="45" t="str">
        <f t="shared" ca="1" si="8"/>
        <v/>
      </c>
      <c r="AZ27" s="45" t="str">
        <f t="shared" ca="1" si="8"/>
        <v/>
      </c>
      <c r="BA27" s="45" t="str">
        <f t="shared" ca="1" si="8"/>
        <v/>
      </c>
      <c r="BB27" s="45" t="str">
        <f t="shared" ca="1" si="8"/>
        <v/>
      </c>
      <c r="BC27" s="45" t="str">
        <f t="shared" ca="1" si="8"/>
        <v/>
      </c>
      <c r="BD27" s="45" t="str">
        <f t="shared" ca="1" si="8"/>
        <v/>
      </c>
      <c r="BE27" s="45" t="str">
        <f t="shared" ca="1" si="8"/>
        <v/>
      </c>
      <c r="BF27" s="45" t="str">
        <f t="shared" ca="1" si="8"/>
        <v/>
      </c>
      <c r="BG27" s="45" t="str">
        <f t="shared" ca="1" si="8"/>
        <v/>
      </c>
      <c r="BH27" s="45" t="str">
        <f t="shared" ca="1" si="8"/>
        <v/>
      </c>
      <c r="BI27" s="45" t="str">
        <f t="shared" ca="1" si="8"/>
        <v/>
      </c>
      <c r="BJ27" s="45" t="str">
        <f t="shared" ca="1" si="8"/>
        <v/>
      </c>
      <c r="BK27" s="45" t="str">
        <f t="shared" ca="1" si="8"/>
        <v/>
      </c>
      <c r="BL27" s="45" t="str">
        <f t="shared" ca="1" si="8"/>
        <v/>
      </c>
      <c r="BM27" s="45" t="str">
        <f t="shared" si="8"/>
        <v/>
      </c>
    </row>
    <row r="28" spans="1:65" s="1" customFormat="1" ht="40.15" customHeight="1">
      <c r="A28" s="9"/>
      <c r="B28" s="12"/>
      <c r="C28" s="21" t="s">
        <v>41</v>
      </c>
      <c r="D28" s="21"/>
      <c r="E28" s="22"/>
      <c r="F28" s="23"/>
      <c r="G28" s="24"/>
      <c r="H28" s="19"/>
      <c r="I28" s="45" t="str">
        <f t="shared" ca="1" si="10"/>
        <v/>
      </c>
      <c r="J28" s="45" t="str">
        <f t="shared" ca="1" si="10"/>
        <v/>
      </c>
      <c r="K28" s="45" t="str">
        <f t="shared" ca="1" si="10"/>
        <v/>
      </c>
      <c r="L28" s="45" t="str">
        <f t="shared" ca="1" si="10"/>
        <v/>
      </c>
      <c r="M28" s="45" t="str">
        <f t="shared" ca="1" si="10"/>
        <v/>
      </c>
      <c r="N28" s="45" t="str">
        <f t="shared" ca="1" si="10"/>
        <v/>
      </c>
      <c r="O28" s="45" t="str">
        <f t="shared" ca="1" si="10"/>
        <v/>
      </c>
      <c r="P28" s="45" t="str">
        <f t="shared" ca="1" si="10"/>
        <v/>
      </c>
      <c r="Q28" s="45" t="str">
        <f t="shared" ca="1" si="10"/>
        <v/>
      </c>
      <c r="R28" s="45" t="str">
        <f t="shared" ca="1" si="10"/>
        <v/>
      </c>
      <c r="S28" s="45" t="str">
        <f t="shared" ca="1" si="10"/>
        <v/>
      </c>
      <c r="T28" s="45" t="str">
        <f t="shared" ca="1" si="10"/>
        <v/>
      </c>
      <c r="U28" s="45" t="str">
        <f t="shared" ca="1" si="10"/>
        <v/>
      </c>
      <c r="V28" s="45" t="str">
        <f t="shared" ca="1" si="10"/>
        <v/>
      </c>
      <c r="W28" s="45" t="str">
        <f t="shared" ca="1" si="10"/>
        <v/>
      </c>
      <c r="X28" s="45" t="str">
        <f t="shared" ca="1" si="10"/>
        <v/>
      </c>
      <c r="Y28" s="45" t="str">
        <f t="shared" ca="1" si="9"/>
        <v/>
      </c>
      <c r="Z28" s="45" t="str">
        <f t="shared" ca="1" si="9"/>
        <v/>
      </c>
      <c r="AA28" s="45" t="str">
        <f t="shared" ca="1" si="9"/>
        <v/>
      </c>
      <c r="AB28" s="45" t="str">
        <f t="shared" ca="1" si="9"/>
        <v/>
      </c>
      <c r="AC28" s="45" t="str">
        <f t="shared" ca="1" si="9"/>
        <v/>
      </c>
      <c r="AD28" s="45" t="str">
        <f t="shared" ca="1" si="9"/>
        <v/>
      </c>
      <c r="AE28" s="45" t="str">
        <f t="shared" ca="1" si="9"/>
        <v/>
      </c>
      <c r="AF28" s="45" t="str">
        <f t="shared" ca="1" si="9"/>
        <v/>
      </c>
      <c r="AG28" s="45" t="str">
        <f t="shared" ca="1" si="9"/>
        <v/>
      </c>
      <c r="AH28" s="45" t="str">
        <f t="shared" ca="1" si="9"/>
        <v/>
      </c>
      <c r="AI28" s="45" t="str">
        <f t="shared" ca="1" si="9"/>
        <v/>
      </c>
      <c r="AJ28" s="45" t="str">
        <f t="shared" ca="1" si="9"/>
        <v/>
      </c>
      <c r="AK28" s="45" t="str">
        <f t="shared" ca="1" si="9"/>
        <v/>
      </c>
      <c r="AL28" s="45" t="str">
        <f t="shared" ca="1" si="9"/>
        <v/>
      </c>
      <c r="AM28" s="45" t="str">
        <f t="shared" ca="1" si="9"/>
        <v/>
      </c>
      <c r="AN28" s="45" t="str">
        <f t="shared" ca="1" si="9"/>
        <v/>
      </c>
      <c r="AO28" s="45" t="str">
        <f t="shared" ca="1" si="7"/>
        <v/>
      </c>
      <c r="AP28" s="45" t="str">
        <f t="shared" ca="1" si="7"/>
        <v/>
      </c>
      <c r="AQ28" s="45" t="str">
        <f t="shared" ca="1" si="7"/>
        <v/>
      </c>
      <c r="AR28" s="45" t="str">
        <f t="shared" ca="1" si="7"/>
        <v/>
      </c>
      <c r="AS28" s="45" t="str">
        <f t="shared" ca="1" si="7"/>
        <v/>
      </c>
      <c r="AT28" s="45" t="str">
        <f t="shared" ca="1" si="7"/>
        <v/>
      </c>
      <c r="AU28" s="45" t="str">
        <f t="shared" ca="1" si="7"/>
        <v/>
      </c>
      <c r="AV28" s="45" t="str">
        <f t="shared" ca="1" si="7"/>
        <v/>
      </c>
      <c r="AW28" s="45" t="str">
        <f t="shared" ca="1" si="7"/>
        <v/>
      </c>
      <c r="AX28" s="45" t="str">
        <f t="shared" ca="1" si="8"/>
        <v/>
      </c>
      <c r="AY28" s="45" t="str">
        <f t="shared" ca="1" si="8"/>
        <v/>
      </c>
      <c r="AZ28" s="45" t="str">
        <f t="shared" ca="1" si="8"/>
        <v/>
      </c>
      <c r="BA28" s="45" t="str">
        <f t="shared" ca="1" si="8"/>
        <v/>
      </c>
      <c r="BB28" s="45" t="str">
        <f t="shared" ca="1" si="8"/>
        <v/>
      </c>
      <c r="BC28" s="45" t="str">
        <f t="shared" ca="1" si="8"/>
        <v/>
      </c>
      <c r="BD28" s="45" t="str">
        <f t="shared" ca="1" si="8"/>
        <v/>
      </c>
      <c r="BE28" s="45" t="str">
        <f t="shared" ca="1" si="8"/>
        <v/>
      </c>
      <c r="BF28" s="45" t="str">
        <f t="shared" ca="1" si="8"/>
        <v/>
      </c>
      <c r="BG28" s="45" t="str">
        <f t="shared" ca="1" si="8"/>
        <v/>
      </c>
      <c r="BH28" s="45" t="str">
        <f t="shared" ca="1" si="8"/>
        <v/>
      </c>
      <c r="BI28" s="45" t="str">
        <f t="shared" ca="1" si="8"/>
        <v/>
      </c>
      <c r="BJ28" s="45" t="str">
        <f t="shared" ca="1" si="8"/>
        <v/>
      </c>
      <c r="BK28" s="45" t="str">
        <f t="shared" ca="1" si="8"/>
        <v/>
      </c>
      <c r="BL28" s="45" t="str">
        <f t="shared" ca="1" si="8"/>
        <v/>
      </c>
      <c r="BM28" s="45" t="str">
        <f t="shared" si="8"/>
        <v/>
      </c>
    </row>
    <row r="29" spans="1:65" s="1" customFormat="1" ht="40.15" customHeight="1">
      <c r="A29" s="9"/>
      <c r="B29" s="121"/>
      <c r="C29" s="21" t="s">
        <v>41</v>
      </c>
      <c r="D29" s="21"/>
      <c r="E29" s="22"/>
      <c r="F29" s="23"/>
      <c r="G29" s="24"/>
      <c r="H29" s="19"/>
      <c r="I29" s="45" t="str">
        <f t="shared" ca="1" si="10"/>
        <v/>
      </c>
      <c r="J29" s="45" t="str">
        <f t="shared" ca="1" si="10"/>
        <v/>
      </c>
      <c r="K29" s="45" t="str">
        <f t="shared" ca="1" si="10"/>
        <v/>
      </c>
      <c r="L29" s="45" t="str">
        <f t="shared" ca="1" si="10"/>
        <v/>
      </c>
      <c r="M29" s="45" t="str">
        <f t="shared" ca="1" si="10"/>
        <v/>
      </c>
      <c r="N29" s="45" t="str">
        <f t="shared" ca="1" si="10"/>
        <v/>
      </c>
      <c r="O29" s="45" t="str">
        <f t="shared" ca="1" si="10"/>
        <v/>
      </c>
      <c r="P29" s="45" t="str">
        <f t="shared" ca="1" si="10"/>
        <v/>
      </c>
      <c r="Q29" s="45" t="str">
        <f t="shared" ca="1" si="10"/>
        <v/>
      </c>
      <c r="R29" s="45" t="str">
        <f t="shared" ca="1" si="10"/>
        <v/>
      </c>
      <c r="S29" s="45" t="str">
        <f t="shared" ca="1" si="10"/>
        <v/>
      </c>
      <c r="T29" s="45" t="str">
        <f t="shared" ca="1" si="10"/>
        <v/>
      </c>
      <c r="U29" s="45" t="str">
        <f t="shared" ca="1" si="10"/>
        <v/>
      </c>
      <c r="V29" s="45" t="str">
        <f t="shared" ca="1" si="10"/>
        <v/>
      </c>
      <c r="W29" s="45" t="str">
        <f t="shared" ca="1" si="10"/>
        <v/>
      </c>
      <c r="X29" s="45" t="str">
        <f t="shared" ca="1" si="10"/>
        <v/>
      </c>
      <c r="Y29" s="45" t="str">
        <f t="shared" ca="1" si="9"/>
        <v/>
      </c>
      <c r="Z29" s="45" t="str">
        <f t="shared" ca="1" si="9"/>
        <v/>
      </c>
      <c r="AA29" s="45" t="str">
        <f t="shared" ca="1" si="9"/>
        <v/>
      </c>
      <c r="AB29" s="45" t="str">
        <f t="shared" ca="1" si="9"/>
        <v/>
      </c>
      <c r="AC29" s="45" t="str">
        <f t="shared" ca="1" si="9"/>
        <v/>
      </c>
      <c r="AD29" s="45" t="str">
        <f t="shared" ca="1" si="9"/>
        <v/>
      </c>
      <c r="AE29" s="45" t="str">
        <f t="shared" ca="1" si="9"/>
        <v/>
      </c>
      <c r="AF29" s="45" t="str">
        <f t="shared" ca="1" si="9"/>
        <v/>
      </c>
      <c r="AG29" s="45" t="str">
        <f t="shared" ca="1" si="9"/>
        <v/>
      </c>
      <c r="AH29" s="45" t="str">
        <f t="shared" ca="1" si="9"/>
        <v/>
      </c>
      <c r="AI29" s="45" t="str">
        <f t="shared" ca="1" si="9"/>
        <v/>
      </c>
      <c r="AJ29" s="45" t="str">
        <f t="shared" ca="1" si="9"/>
        <v/>
      </c>
      <c r="AK29" s="45" t="str">
        <f t="shared" ca="1" si="9"/>
        <v/>
      </c>
      <c r="AL29" s="45" t="str">
        <f t="shared" ca="1" si="9"/>
        <v/>
      </c>
      <c r="AM29" s="45" t="str">
        <f t="shared" ca="1" si="9"/>
        <v/>
      </c>
      <c r="AN29" s="45" t="str">
        <f t="shared" ca="1" si="9"/>
        <v/>
      </c>
      <c r="AO29" s="45" t="str">
        <f t="shared" ca="1" si="7"/>
        <v/>
      </c>
      <c r="AP29" s="45" t="str">
        <f t="shared" ca="1" si="7"/>
        <v/>
      </c>
      <c r="AQ29" s="45" t="str">
        <f t="shared" ca="1" si="7"/>
        <v/>
      </c>
      <c r="AR29" s="45" t="str">
        <f t="shared" ca="1" si="7"/>
        <v/>
      </c>
      <c r="AS29" s="45" t="str">
        <f t="shared" ca="1" si="7"/>
        <v/>
      </c>
      <c r="AT29" s="45" t="str">
        <f t="shared" ca="1" si="7"/>
        <v/>
      </c>
      <c r="AU29" s="45" t="str">
        <f t="shared" ca="1" si="7"/>
        <v/>
      </c>
      <c r="AV29" s="45" t="str">
        <f t="shared" ca="1" si="7"/>
        <v/>
      </c>
      <c r="AW29" s="45" t="str">
        <f t="shared" ca="1" si="7"/>
        <v/>
      </c>
      <c r="AX29" s="45" t="str">
        <f t="shared" ca="1" si="8"/>
        <v/>
      </c>
      <c r="AY29" s="45" t="str">
        <f t="shared" ca="1" si="8"/>
        <v/>
      </c>
      <c r="AZ29" s="45" t="str">
        <f t="shared" ca="1" si="8"/>
        <v/>
      </c>
      <c r="BA29" s="45" t="str">
        <f t="shared" ca="1" si="8"/>
        <v/>
      </c>
      <c r="BB29" s="45" t="str">
        <f t="shared" ca="1" si="8"/>
        <v/>
      </c>
      <c r="BC29" s="45" t="str">
        <f t="shared" ca="1" si="8"/>
        <v/>
      </c>
      <c r="BD29" s="45" t="str">
        <f t="shared" ca="1" si="8"/>
        <v/>
      </c>
      <c r="BE29" s="45" t="str">
        <f t="shared" ca="1" si="8"/>
        <v/>
      </c>
      <c r="BF29" s="45" t="str">
        <f t="shared" ca="1" si="8"/>
        <v/>
      </c>
      <c r="BG29" s="45" t="str">
        <f t="shared" ca="1" si="8"/>
        <v/>
      </c>
      <c r="BH29" s="45" t="str">
        <f t="shared" ca="1" si="8"/>
        <v/>
      </c>
      <c r="BI29" s="45" t="str">
        <f t="shared" ca="1" si="8"/>
        <v/>
      </c>
      <c r="BJ29" s="45" t="str">
        <f t="shared" ca="1" si="8"/>
        <v/>
      </c>
      <c r="BK29" s="45" t="str">
        <f t="shared" ca="1" si="8"/>
        <v/>
      </c>
      <c r="BL29" s="45" t="str">
        <f t="shared" ca="1" si="8"/>
        <v/>
      </c>
      <c r="BM29" s="45" t="str">
        <f t="shared" si="8"/>
        <v/>
      </c>
    </row>
    <row r="30" spans="1:65" s="1" customFormat="1" ht="40.15" customHeight="1">
      <c r="A30" s="9"/>
      <c r="B30" s="121"/>
      <c r="C30" s="21" t="s">
        <v>42</v>
      </c>
      <c r="D30" s="21"/>
      <c r="E30" s="22"/>
      <c r="F30" s="23"/>
      <c r="G30" s="24"/>
      <c r="H30" s="19"/>
      <c r="I30" s="45" t="str">
        <f t="shared" ca="1" si="10"/>
        <v/>
      </c>
      <c r="J30" s="45" t="str">
        <f t="shared" ca="1" si="10"/>
        <v/>
      </c>
      <c r="K30" s="45" t="str">
        <f t="shared" ca="1" si="10"/>
        <v/>
      </c>
      <c r="L30" s="45" t="str">
        <f t="shared" ca="1" si="10"/>
        <v/>
      </c>
      <c r="M30" s="45" t="str">
        <f t="shared" ca="1" si="10"/>
        <v/>
      </c>
      <c r="N30" s="45" t="str">
        <f t="shared" ca="1" si="10"/>
        <v/>
      </c>
      <c r="O30" s="45" t="str">
        <f t="shared" ca="1" si="10"/>
        <v/>
      </c>
      <c r="P30" s="45" t="str">
        <f t="shared" ca="1" si="10"/>
        <v/>
      </c>
      <c r="Q30" s="45" t="str">
        <f t="shared" ca="1" si="10"/>
        <v/>
      </c>
      <c r="R30" s="45" t="str">
        <f t="shared" ca="1" si="10"/>
        <v/>
      </c>
      <c r="S30" s="45" t="str">
        <f t="shared" ca="1" si="10"/>
        <v/>
      </c>
      <c r="T30" s="45" t="str">
        <f t="shared" ca="1" si="10"/>
        <v/>
      </c>
      <c r="U30" s="45" t="str">
        <f t="shared" ca="1" si="10"/>
        <v/>
      </c>
      <c r="V30" s="45" t="str">
        <f t="shared" ca="1" si="10"/>
        <v/>
      </c>
      <c r="W30" s="45" t="str">
        <f t="shared" ca="1" si="10"/>
        <v/>
      </c>
      <c r="X30" s="45" t="str">
        <f t="shared" ca="1" si="10"/>
        <v/>
      </c>
      <c r="Y30" s="45" t="str">
        <f t="shared" ca="1" si="9"/>
        <v/>
      </c>
      <c r="Z30" s="45" t="str">
        <f t="shared" ca="1" si="9"/>
        <v/>
      </c>
      <c r="AA30" s="45" t="str">
        <f t="shared" ca="1" si="9"/>
        <v/>
      </c>
      <c r="AB30" s="45" t="str">
        <f t="shared" ca="1" si="9"/>
        <v/>
      </c>
      <c r="AC30" s="45" t="str">
        <f t="shared" ca="1" si="9"/>
        <v/>
      </c>
      <c r="AD30" s="45" t="str">
        <f t="shared" ca="1" si="9"/>
        <v/>
      </c>
      <c r="AE30" s="45" t="str">
        <f t="shared" ca="1" si="9"/>
        <v/>
      </c>
      <c r="AF30" s="45" t="str">
        <f t="shared" ca="1" si="9"/>
        <v/>
      </c>
      <c r="AG30" s="45" t="str">
        <f t="shared" ca="1" si="9"/>
        <v/>
      </c>
      <c r="AH30" s="45" t="str">
        <f t="shared" ca="1" si="9"/>
        <v/>
      </c>
      <c r="AI30" s="45" t="str">
        <f t="shared" ca="1" si="9"/>
        <v/>
      </c>
      <c r="AJ30" s="45" t="str">
        <f t="shared" ca="1" si="9"/>
        <v/>
      </c>
      <c r="AK30" s="45" t="str">
        <f t="shared" ca="1" si="9"/>
        <v/>
      </c>
      <c r="AL30" s="45" t="str">
        <f t="shared" ca="1" si="9"/>
        <v/>
      </c>
      <c r="AM30" s="45" t="str">
        <f t="shared" ca="1" si="9"/>
        <v/>
      </c>
      <c r="AN30" s="45" t="str">
        <f t="shared" ca="1" si="9"/>
        <v/>
      </c>
      <c r="AO30" s="45" t="str">
        <f t="shared" ca="1" si="7"/>
        <v/>
      </c>
      <c r="AP30" s="45" t="str">
        <f t="shared" ca="1" si="7"/>
        <v/>
      </c>
      <c r="AQ30" s="45" t="str">
        <f t="shared" ca="1" si="7"/>
        <v/>
      </c>
      <c r="AR30" s="45" t="str">
        <f t="shared" ca="1" si="7"/>
        <v/>
      </c>
      <c r="AS30" s="45" t="str">
        <f t="shared" ca="1" si="7"/>
        <v/>
      </c>
      <c r="AT30" s="45" t="str">
        <f t="shared" ca="1" si="7"/>
        <v/>
      </c>
      <c r="AU30" s="45" t="str">
        <f t="shared" ca="1" si="7"/>
        <v/>
      </c>
      <c r="AV30" s="45" t="str">
        <f t="shared" ca="1" si="7"/>
        <v/>
      </c>
      <c r="AW30" s="45" t="str">
        <f t="shared" ca="1" si="7"/>
        <v/>
      </c>
      <c r="AX30" s="45" t="str">
        <f t="shared" ca="1" si="8"/>
        <v/>
      </c>
      <c r="AY30" s="45" t="str">
        <f t="shared" ca="1" si="8"/>
        <v/>
      </c>
      <c r="AZ30" s="45" t="str">
        <f t="shared" ca="1" si="8"/>
        <v/>
      </c>
      <c r="BA30" s="45" t="str">
        <f t="shared" ca="1" si="8"/>
        <v/>
      </c>
      <c r="BB30" s="45" t="str">
        <f t="shared" ca="1" si="8"/>
        <v/>
      </c>
      <c r="BC30" s="45" t="str">
        <f t="shared" ca="1" si="8"/>
        <v/>
      </c>
      <c r="BD30" s="45" t="str">
        <f t="shared" ca="1" si="8"/>
        <v/>
      </c>
      <c r="BE30" s="45" t="str">
        <f t="shared" ca="1" si="8"/>
        <v/>
      </c>
      <c r="BF30" s="45" t="str">
        <f t="shared" ca="1" si="8"/>
        <v/>
      </c>
      <c r="BG30" s="45" t="str">
        <f t="shared" ca="1" si="8"/>
        <v/>
      </c>
      <c r="BH30" s="45" t="str">
        <f t="shared" ca="1" si="8"/>
        <v/>
      </c>
      <c r="BI30" s="45" t="str">
        <f t="shared" ca="1" si="8"/>
        <v/>
      </c>
      <c r="BJ30" s="45" t="str">
        <f t="shared" ca="1" si="8"/>
        <v/>
      </c>
      <c r="BK30" s="45" t="str">
        <f t="shared" ca="1" si="8"/>
        <v/>
      </c>
      <c r="BL30" s="45" t="str">
        <f t="shared" ca="1" si="8"/>
        <v/>
      </c>
      <c r="BM30" s="45" t="str">
        <f t="shared" si="8"/>
        <v/>
      </c>
    </row>
    <row r="31" spans="1:65" s="1" customFormat="1" ht="40.15" customHeight="1">
      <c r="A31" s="9"/>
      <c r="B31" s="121"/>
      <c r="C31" s="21" t="s">
        <v>42</v>
      </c>
      <c r="D31" s="21"/>
      <c r="E31" s="22"/>
      <c r="F31" s="23"/>
      <c r="G31" s="24"/>
      <c r="H31" s="19"/>
      <c r="I31" s="45" t="str">
        <f t="shared" ca="1" si="10"/>
        <v/>
      </c>
      <c r="J31" s="45" t="str">
        <f t="shared" ca="1" si="10"/>
        <v/>
      </c>
      <c r="K31" s="45" t="str">
        <f t="shared" ca="1" si="10"/>
        <v/>
      </c>
      <c r="L31" s="45" t="str">
        <f t="shared" ca="1" si="10"/>
        <v/>
      </c>
      <c r="M31" s="45" t="str">
        <f t="shared" ca="1" si="10"/>
        <v/>
      </c>
      <c r="N31" s="45" t="str">
        <f t="shared" ca="1" si="10"/>
        <v/>
      </c>
      <c r="O31" s="45" t="str">
        <f t="shared" ca="1" si="10"/>
        <v/>
      </c>
      <c r="P31" s="45" t="str">
        <f t="shared" ca="1" si="10"/>
        <v/>
      </c>
      <c r="Q31" s="45" t="str">
        <f t="shared" ca="1" si="10"/>
        <v/>
      </c>
      <c r="R31" s="45" t="str">
        <f t="shared" ca="1" si="10"/>
        <v/>
      </c>
      <c r="S31" s="45" t="str">
        <f t="shared" ca="1" si="10"/>
        <v/>
      </c>
      <c r="T31" s="45" t="str">
        <f t="shared" ca="1" si="10"/>
        <v/>
      </c>
      <c r="U31" s="45" t="str">
        <f t="shared" ca="1" si="10"/>
        <v/>
      </c>
      <c r="V31" s="45" t="str">
        <f t="shared" ca="1" si="10"/>
        <v/>
      </c>
      <c r="W31" s="45" t="str">
        <f t="shared" ca="1" si="10"/>
        <v/>
      </c>
      <c r="X31" s="45" t="str">
        <f t="shared" ca="1" si="10"/>
        <v/>
      </c>
      <c r="Y31" s="45" t="str">
        <f t="shared" ca="1" si="9"/>
        <v/>
      </c>
      <c r="Z31" s="45" t="str">
        <f t="shared" ca="1" si="9"/>
        <v/>
      </c>
      <c r="AA31" s="45" t="str">
        <f t="shared" ca="1" si="9"/>
        <v/>
      </c>
      <c r="AB31" s="45" t="str">
        <f t="shared" ca="1" si="9"/>
        <v/>
      </c>
      <c r="AC31" s="45" t="str">
        <f t="shared" ca="1" si="9"/>
        <v/>
      </c>
      <c r="AD31" s="45" t="str">
        <f t="shared" ca="1" si="9"/>
        <v/>
      </c>
      <c r="AE31" s="45" t="str">
        <f t="shared" ca="1" si="9"/>
        <v/>
      </c>
      <c r="AF31" s="45" t="str">
        <f t="shared" ca="1" si="9"/>
        <v/>
      </c>
      <c r="AG31" s="45" t="str">
        <f t="shared" ca="1" si="9"/>
        <v/>
      </c>
      <c r="AH31" s="45" t="str">
        <f t="shared" ca="1" si="9"/>
        <v/>
      </c>
      <c r="AI31" s="45" t="str">
        <f t="shared" ca="1" si="9"/>
        <v/>
      </c>
      <c r="AJ31" s="45" t="str">
        <f t="shared" ca="1" si="9"/>
        <v/>
      </c>
      <c r="AK31" s="45" t="str">
        <f t="shared" ca="1" si="9"/>
        <v/>
      </c>
      <c r="AL31" s="45" t="str">
        <f t="shared" ca="1" si="9"/>
        <v/>
      </c>
      <c r="AM31" s="45" t="str">
        <f t="shared" ca="1" si="9"/>
        <v/>
      </c>
      <c r="AN31" s="45" t="str">
        <f t="shared" ca="1" si="9"/>
        <v/>
      </c>
      <c r="AO31" s="45" t="str">
        <f t="shared" ca="1" si="7"/>
        <v/>
      </c>
      <c r="AP31" s="45" t="str">
        <f t="shared" ca="1" si="7"/>
        <v/>
      </c>
      <c r="AQ31" s="45" t="str">
        <f t="shared" ca="1" si="7"/>
        <v/>
      </c>
      <c r="AR31" s="45" t="str">
        <f t="shared" ca="1" si="7"/>
        <v/>
      </c>
      <c r="AS31" s="45" t="str">
        <f t="shared" ca="1" si="7"/>
        <v/>
      </c>
      <c r="AT31" s="45" t="str">
        <f t="shared" ca="1" si="7"/>
        <v/>
      </c>
      <c r="AU31" s="45" t="str">
        <f t="shared" ca="1" si="7"/>
        <v/>
      </c>
      <c r="AV31" s="45" t="str">
        <f t="shared" ca="1" si="7"/>
        <v/>
      </c>
      <c r="AW31" s="45" t="str">
        <f t="shared" ca="1" si="7"/>
        <v/>
      </c>
      <c r="AX31" s="45" t="str">
        <f t="shared" ca="1" si="8"/>
        <v/>
      </c>
      <c r="AY31" s="45" t="str">
        <f t="shared" ca="1" si="8"/>
        <v/>
      </c>
      <c r="AZ31" s="45" t="str">
        <f t="shared" ca="1" si="8"/>
        <v/>
      </c>
      <c r="BA31" s="45" t="str">
        <f t="shared" ca="1" si="8"/>
        <v/>
      </c>
      <c r="BB31" s="45" t="str">
        <f t="shared" ca="1" si="8"/>
        <v/>
      </c>
      <c r="BC31" s="45" t="str">
        <f t="shared" ca="1" si="8"/>
        <v/>
      </c>
      <c r="BD31" s="45" t="str">
        <f t="shared" ca="1" si="8"/>
        <v/>
      </c>
      <c r="BE31" s="45" t="str">
        <f t="shared" ca="1" si="8"/>
        <v/>
      </c>
      <c r="BF31" s="45" t="str">
        <f t="shared" ca="1" si="8"/>
        <v/>
      </c>
      <c r="BG31" s="45" t="str">
        <f t="shared" ca="1" si="8"/>
        <v/>
      </c>
      <c r="BH31" s="45" t="str">
        <f t="shared" ca="1" si="8"/>
        <v/>
      </c>
      <c r="BI31" s="45" t="str">
        <f t="shared" ca="1" si="8"/>
        <v/>
      </c>
      <c r="BJ31" s="45" t="str">
        <f t="shared" ca="1" si="8"/>
        <v/>
      </c>
      <c r="BK31" s="45" t="str">
        <f t="shared" ca="1" si="8"/>
        <v/>
      </c>
      <c r="BL31" s="45" t="str">
        <f t="shared" ca="1" si="8"/>
        <v/>
      </c>
      <c r="BM31" s="45" t="str">
        <f t="shared" si="8"/>
        <v/>
      </c>
    </row>
    <row r="32" spans="1:65" s="1" customFormat="1" ht="40.15" customHeight="1">
      <c r="A32" s="9"/>
      <c r="B32" s="121"/>
      <c r="C32" s="21" t="s">
        <v>41</v>
      </c>
      <c r="D32" s="21"/>
      <c r="E32" s="22"/>
      <c r="F32" s="23"/>
      <c r="G32" s="24"/>
      <c r="H32" s="19"/>
      <c r="I32" s="45" t="str">
        <f t="shared" ca="1" si="10"/>
        <v/>
      </c>
      <c r="J32" s="45" t="str">
        <f t="shared" ca="1" si="10"/>
        <v/>
      </c>
      <c r="K32" s="45" t="str">
        <f t="shared" ca="1" si="10"/>
        <v/>
      </c>
      <c r="L32" s="45" t="str">
        <f t="shared" ca="1" si="10"/>
        <v/>
      </c>
      <c r="M32" s="45" t="str">
        <f t="shared" ca="1" si="10"/>
        <v/>
      </c>
      <c r="N32" s="45" t="str">
        <f t="shared" ca="1" si="10"/>
        <v/>
      </c>
      <c r="O32" s="45" t="str">
        <f t="shared" ca="1" si="10"/>
        <v/>
      </c>
      <c r="P32" s="45" t="str">
        <f t="shared" ca="1" si="10"/>
        <v/>
      </c>
      <c r="Q32" s="45" t="str">
        <f t="shared" ca="1" si="10"/>
        <v/>
      </c>
      <c r="R32" s="45" t="str">
        <f t="shared" ca="1" si="10"/>
        <v/>
      </c>
      <c r="S32" s="45" t="str">
        <f t="shared" ca="1" si="10"/>
        <v/>
      </c>
      <c r="T32" s="45" t="str">
        <f t="shared" ca="1" si="10"/>
        <v/>
      </c>
      <c r="U32" s="45" t="str">
        <f t="shared" ca="1" si="10"/>
        <v/>
      </c>
      <c r="V32" s="45" t="str">
        <f t="shared" ca="1" si="10"/>
        <v/>
      </c>
      <c r="W32" s="45" t="str">
        <f t="shared" ca="1" si="10"/>
        <v/>
      </c>
      <c r="X32" s="45" t="str">
        <f t="shared" ca="1" si="10"/>
        <v/>
      </c>
      <c r="Y32" s="45" t="str">
        <f t="shared" ca="1" si="9"/>
        <v/>
      </c>
      <c r="Z32" s="45" t="str">
        <f t="shared" ca="1" si="9"/>
        <v/>
      </c>
      <c r="AA32" s="45" t="str">
        <f t="shared" ca="1" si="9"/>
        <v/>
      </c>
      <c r="AB32" s="45" t="str">
        <f t="shared" ca="1" si="9"/>
        <v/>
      </c>
      <c r="AC32" s="45" t="str">
        <f t="shared" ca="1" si="9"/>
        <v/>
      </c>
      <c r="AD32" s="45" t="str">
        <f t="shared" ca="1" si="9"/>
        <v/>
      </c>
      <c r="AE32" s="45" t="str">
        <f t="shared" ca="1" si="9"/>
        <v/>
      </c>
      <c r="AF32" s="45" t="str">
        <f t="shared" ca="1" si="9"/>
        <v/>
      </c>
      <c r="AG32" s="45" t="str">
        <f t="shared" ca="1" si="9"/>
        <v/>
      </c>
      <c r="AH32" s="45" t="str">
        <f t="shared" ca="1" si="9"/>
        <v/>
      </c>
      <c r="AI32" s="45" t="str">
        <f t="shared" ca="1" si="9"/>
        <v/>
      </c>
      <c r="AJ32" s="45" t="str">
        <f t="shared" ca="1" si="9"/>
        <v/>
      </c>
      <c r="AK32" s="45" t="str">
        <f t="shared" ca="1" si="9"/>
        <v/>
      </c>
      <c r="AL32" s="45" t="str">
        <f t="shared" ca="1" si="9"/>
        <v/>
      </c>
      <c r="AM32" s="45" t="str">
        <f t="shared" ca="1" si="9"/>
        <v/>
      </c>
      <c r="AN32" s="45" t="str">
        <f t="shared" ca="1" si="9"/>
        <v/>
      </c>
      <c r="AO32" s="45" t="str">
        <f t="shared" ca="1" si="7"/>
        <v/>
      </c>
      <c r="AP32" s="45" t="str">
        <f t="shared" ca="1" si="7"/>
        <v/>
      </c>
      <c r="AQ32" s="45" t="str">
        <f t="shared" ca="1" si="7"/>
        <v/>
      </c>
      <c r="AR32" s="45" t="str">
        <f t="shared" ca="1" si="7"/>
        <v/>
      </c>
      <c r="AS32" s="45" t="str">
        <f t="shared" ca="1" si="7"/>
        <v/>
      </c>
      <c r="AT32" s="45" t="str">
        <f t="shared" ca="1" si="7"/>
        <v/>
      </c>
      <c r="AU32" s="45" t="str">
        <f t="shared" ca="1" si="7"/>
        <v/>
      </c>
      <c r="AV32" s="45" t="str">
        <f t="shared" ca="1" si="7"/>
        <v/>
      </c>
      <c r="AW32" s="45" t="str">
        <f t="shared" ca="1" si="7"/>
        <v/>
      </c>
      <c r="AX32" s="45" t="str">
        <f t="shared" ca="1" si="8"/>
        <v/>
      </c>
      <c r="AY32" s="45" t="str">
        <f t="shared" ca="1" si="8"/>
        <v/>
      </c>
      <c r="AZ32" s="45" t="str">
        <f t="shared" ca="1" si="8"/>
        <v/>
      </c>
      <c r="BA32" s="45" t="str">
        <f t="shared" ca="1" si="8"/>
        <v/>
      </c>
      <c r="BB32" s="45" t="str">
        <f t="shared" ca="1" si="8"/>
        <v/>
      </c>
      <c r="BC32" s="45" t="str">
        <f t="shared" ca="1" si="8"/>
        <v/>
      </c>
      <c r="BD32" s="45" t="str">
        <f t="shared" ca="1" si="8"/>
        <v/>
      </c>
      <c r="BE32" s="45" t="str">
        <f t="shared" ca="1" si="8"/>
        <v/>
      </c>
      <c r="BF32" s="45" t="str">
        <f t="shared" ca="1" si="8"/>
        <v/>
      </c>
      <c r="BG32" s="45" t="str">
        <f t="shared" ca="1" si="8"/>
        <v/>
      </c>
      <c r="BH32" s="45" t="str">
        <f t="shared" ca="1" si="8"/>
        <v/>
      </c>
      <c r="BI32" s="45" t="str">
        <f t="shared" ca="1" si="8"/>
        <v/>
      </c>
      <c r="BJ32" s="45" t="str">
        <f t="shared" ca="1" si="8"/>
        <v/>
      </c>
      <c r="BK32" s="45" t="str">
        <f t="shared" ca="1" si="8"/>
        <v/>
      </c>
      <c r="BL32" s="45" t="str">
        <f t="shared" ca="1" si="8"/>
        <v/>
      </c>
      <c r="BM32" s="45" t="str">
        <f t="shared" ref="Y32:BM35" si="11">IF(AND($C32="Ziel",BM$7&gt;=$F32,BM$7&lt;=$F32+$G32-1),2,IF(AND($C32="Meilenstein",BM$7&gt;=$F32,BM$7&lt;=$F32+$G32-1),1,""))</f>
        <v/>
      </c>
    </row>
    <row r="33" spans="1:65" s="1" customFormat="1" ht="40.15" customHeight="1">
      <c r="A33" s="9"/>
      <c r="B33" s="121"/>
      <c r="C33" s="21" t="s">
        <v>42</v>
      </c>
      <c r="D33" s="21"/>
      <c r="E33" s="22"/>
      <c r="F33" s="23"/>
      <c r="G33" s="24"/>
      <c r="H33" s="19"/>
      <c r="I33" s="45" t="str">
        <f t="shared" ca="1" si="10"/>
        <v/>
      </c>
      <c r="J33" s="45" t="str">
        <f t="shared" ca="1" si="10"/>
        <v/>
      </c>
      <c r="K33" s="45" t="str">
        <f t="shared" ca="1" si="10"/>
        <v/>
      </c>
      <c r="L33" s="45" t="str">
        <f t="shared" ca="1" si="10"/>
        <v/>
      </c>
      <c r="M33" s="45" t="str">
        <f t="shared" ca="1" si="10"/>
        <v/>
      </c>
      <c r="N33" s="45" t="str">
        <f t="shared" ca="1" si="10"/>
        <v/>
      </c>
      <c r="O33" s="45" t="str">
        <f t="shared" ca="1" si="10"/>
        <v/>
      </c>
      <c r="P33" s="45" t="str">
        <f t="shared" ca="1" si="10"/>
        <v/>
      </c>
      <c r="Q33" s="45" t="str">
        <f t="shared" ca="1" si="10"/>
        <v/>
      </c>
      <c r="R33" s="45" t="str">
        <f t="shared" ca="1" si="10"/>
        <v/>
      </c>
      <c r="S33" s="45" t="str">
        <f t="shared" ca="1" si="10"/>
        <v/>
      </c>
      <c r="T33" s="45" t="str">
        <f t="shared" ca="1" si="10"/>
        <v/>
      </c>
      <c r="U33" s="45" t="str">
        <f t="shared" ca="1" si="10"/>
        <v/>
      </c>
      <c r="V33" s="45" t="str">
        <f t="shared" ca="1" si="10"/>
        <v/>
      </c>
      <c r="W33" s="45" t="str">
        <f t="shared" ca="1" si="10"/>
        <v/>
      </c>
      <c r="X33" s="45" t="str">
        <f t="shared" ca="1" si="10"/>
        <v/>
      </c>
      <c r="Y33" s="45" t="str">
        <f t="shared" ca="1" si="11"/>
        <v/>
      </c>
      <c r="Z33" s="45" t="str">
        <f t="shared" ca="1" si="11"/>
        <v/>
      </c>
      <c r="AA33" s="45" t="str">
        <f t="shared" ca="1" si="11"/>
        <v/>
      </c>
      <c r="AB33" s="45" t="str">
        <f t="shared" ca="1" si="11"/>
        <v/>
      </c>
      <c r="AC33" s="45" t="str">
        <f t="shared" ca="1" si="11"/>
        <v/>
      </c>
      <c r="AD33" s="45" t="str">
        <f t="shared" ca="1" si="11"/>
        <v/>
      </c>
      <c r="AE33" s="45" t="str">
        <f t="shared" ca="1" si="11"/>
        <v/>
      </c>
      <c r="AF33" s="45" t="str">
        <f t="shared" ca="1" si="11"/>
        <v/>
      </c>
      <c r="AG33" s="45" t="str">
        <f t="shared" ca="1" si="11"/>
        <v/>
      </c>
      <c r="AH33" s="45" t="str">
        <f t="shared" ca="1" si="11"/>
        <v/>
      </c>
      <c r="AI33" s="45" t="str">
        <f t="shared" ca="1" si="11"/>
        <v/>
      </c>
      <c r="AJ33" s="45" t="str">
        <f t="shared" ca="1" si="11"/>
        <v/>
      </c>
      <c r="AK33" s="45" t="str">
        <f t="shared" ca="1" si="11"/>
        <v/>
      </c>
      <c r="AL33" s="45" t="str">
        <f t="shared" ca="1" si="11"/>
        <v/>
      </c>
      <c r="AM33" s="45" t="str">
        <f t="shared" ca="1" si="11"/>
        <v/>
      </c>
      <c r="AN33" s="45" t="str">
        <f t="shared" ca="1" si="11"/>
        <v/>
      </c>
      <c r="AO33" s="45" t="str">
        <f t="shared" ca="1" si="11"/>
        <v/>
      </c>
      <c r="AP33" s="45" t="str">
        <f t="shared" ca="1" si="11"/>
        <v/>
      </c>
      <c r="AQ33" s="45" t="str">
        <f t="shared" ca="1" si="11"/>
        <v/>
      </c>
      <c r="AR33" s="45" t="str">
        <f t="shared" ca="1" si="11"/>
        <v/>
      </c>
      <c r="AS33" s="45" t="str">
        <f t="shared" ca="1" si="11"/>
        <v/>
      </c>
      <c r="AT33" s="45" t="str">
        <f t="shared" ca="1" si="11"/>
        <v/>
      </c>
      <c r="AU33" s="45" t="str">
        <f t="shared" ca="1" si="11"/>
        <v/>
      </c>
      <c r="AV33" s="45" t="str">
        <f t="shared" ca="1" si="11"/>
        <v/>
      </c>
      <c r="AW33" s="45" t="str">
        <f t="shared" ca="1" si="11"/>
        <v/>
      </c>
      <c r="AX33" s="45" t="str">
        <f t="shared" ca="1" si="11"/>
        <v/>
      </c>
      <c r="AY33" s="45" t="str">
        <f t="shared" ca="1" si="11"/>
        <v/>
      </c>
      <c r="AZ33" s="45" t="str">
        <f t="shared" ca="1" si="11"/>
        <v/>
      </c>
      <c r="BA33" s="45" t="str">
        <f t="shared" ca="1" si="11"/>
        <v/>
      </c>
      <c r="BB33" s="45" t="str">
        <f t="shared" ca="1" si="11"/>
        <v/>
      </c>
      <c r="BC33" s="45" t="str">
        <f t="shared" ca="1" si="11"/>
        <v/>
      </c>
      <c r="BD33" s="45" t="str">
        <f t="shared" ca="1" si="11"/>
        <v/>
      </c>
      <c r="BE33" s="45" t="str">
        <f t="shared" ca="1" si="11"/>
        <v/>
      </c>
      <c r="BF33" s="45" t="str">
        <f t="shared" ca="1" si="11"/>
        <v/>
      </c>
      <c r="BG33" s="45" t="str">
        <f t="shared" ca="1" si="11"/>
        <v/>
      </c>
      <c r="BH33" s="45" t="str">
        <f t="shared" ca="1" si="11"/>
        <v/>
      </c>
      <c r="BI33" s="45" t="str">
        <f t="shared" ca="1" si="11"/>
        <v/>
      </c>
      <c r="BJ33" s="45" t="str">
        <f t="shared" ca="1" si="11"/>
        <v/>
      </c>
      <c r="BK33" s="45" t="str">
        <f t="shared" ca="1" si="11"/>
        <v/>
      </c>
      <c r="BL33" s="45" t="str">
        <f t="shared" ca="1" si="11"/>
        <v/>
      </c>
      <c r="BM33" s="45" t="str">
        <f t="shared" si="11"/>
        <v/>
      </c>
    </row>
    <row r="34" spans="1:65" s="1" customFormat="1" ht="40.15" customHeight="1">
      <c r="A34" s="9"/>
      <c r="B34" s="121"/>
      <c r="C34" s="21" t="s">
        <v>41</v>
      </c>
      <c r="D34" s="21"/>
      <c r="E34" s="22"/>
      <c r="F34" s="23"/>
      <c r="G34" s="24"/>
      <c r="H34" s="19"/>
      <c r="I34" s="45" t="str">
        <f t="shared" ca="1" si="10"/>
        <v/>
      </c>
      <c r="J34" s="45" t="str">
        <f t="shared" ca="1" si="10"/>
        <v/>
      </c>
      <c r="K34" s="45" t="str">
        <f t="shared" ca="1" si="10"/>
        <v/>
      </c>
      <c r="L34" s="45" t="str">
        <f t="shared" ca="1" si="10"/>
        <v/>
      </c>
      <c r="M34" s="45" t="str">
        <f t="shared" ca="1" si="10"/>
        <v/>
      </c>
      <c r="N34" s="45" t="str">
        <f t="shared" ca="1" si="10"/>
        <v/>
      </c>
      <c r="O34" s="45" t="str">
        <f t="shared" ca="1" si="10"/>
        <v/>
      </c>
      <c r="P34" s="45" t="str">
        <f t="shared" ca="1" si="10"/>
        <v/>
      </c>
      <c r="Q34" s="45" t="str">
        <f t="shared" ca="1" si="10"/>
        <v/>
      </c>
      <c r="R34" s="45" t="str">
        <f t="shared" ca="1" si="10"/>
        <v/>
      </c>
      <c r="S34" s="45" t="str">
        <f t="shared" ca="1" si="10"/>
        <v/>
      </c>
      <c r="T34" s="45" t="str">
        <f t="shared" ca="1" si="10"/>
        <v/>
      </c>
      <c r="U34" s="45" t="str">
        <f t="shared" ca="1" si="10"/>
        <v/>
      </c>
      <c r="V34" s="45" t="str">
        <f t="shared" ca="1" si="10"/>
        <v/>
      </c>
      <c r="W34" s="45" t="str">
        <f t="shared" ca="1" si="10"/>
        <v/>
      </c>
      <c r="X34" s="45" t="str">
        <f t="shared" ca="1" si="10"/>
        <v/>
      </c>
      <c r="Y34" s="45" t="str">
        <f t="shared" ca="1" si="11"/>
        <v/>
      </c>
      <c r="Z34" s="45" t="str">
        <f t="shared" ca="1" si="11"/>
        <v/>
      </c>
      <c r="AA34" s="45" t="str">
        <f t="shared" ca="1" si="11"/>
        <v/>
      </c>
      <c r="AB34" s="45" t="str">
        <f t="shared" ca="1" si="11"/>
        <v/>
      </c>
      <c r="AC34" s="45" t="str">
        <f t="shared" ca="1" si="11"/>
        <v/>
      </c>
      <c r="AD34" s="45" t="str">
        <f t="shared" ca="1" si="11"/>
        <v/>
      </c>
      <c r="AE34" s="45" t="str">
        <f t="shared" ca="1" si="11"/>
        <v/>
      </c>
      <c r="AF34" s="45" t="str">
        <f t="shared" ca="1" si="11"/>
        <v/>
      </c>
      <c r="AG34" s="45" t="str">
        <f t="shared" ca="1" si="11"/>
        <v/>
      </c>
      <c r="AH34" s="45" t="str">
        <f t="shared" ca="1" si="11"/>
        <v/>
      </c>
      <c r="AI34" s="45" t="str">
        <f t="shared" ca="1" si="11"/>
        <v/>
      </c>
      <c r="AJ34" s="45" t="str">
        <f t="shared" ca="1" si="11"/>
        <v/>
      </c>
      <c r="AK34" s="45" t="str">
        <f t="shared" ca="1" si="11"/>
        <v/>
      </c>
      <c r="AL34" s="45" t="str">
        <f t="shared" ca="1" si="11"/>
        <v/>
      </c>
      <c r="AM34" s="45" t="str">
        <f t="shared" ca="1" si="11"/>
        <v/>
      </c>
      <c r="AN34" s="45" t="str">
        <f t="shared" ca="1" si="11"/>
        <v/>
      </c>
      <c r="AO34" s="45" t="str">
        <f t="shared" ca="1" si="11"/>
        <v/>
      </c>
      <c r="AP34" s="45" t="str">
        <f t="shared" ca="1" si="11"/>
        <v/>
      </c>
      <c r="AQ34" s="45" t="str">
        <f t="shared" ca="1" si="11"/>
        <v/>
      </c>
      <c r="AR34" s="45" t="str">
        <f t="shared" ca="1" si="11"/>
        <v/>
      </c>
      <c r="AS34" s="45" t="str">
        <f t="shared" ca="1" si="11"/>
        <v/>
      </c>
      <c r="AT34" s="45" t="str">
        <f t="shared" ca="1" si="11"/>
        <v/>
      </c>
      <c r="AU34" s="45" t="str">
        <f t="shared" ca="1" si="11"/>
        <v/>
      </c>
      <c r="AV34" s="45" t="str">
        <f t="shared" ca="1" si="11"/>
        <v/>
      </c>
      <c r="AW34" s="45" t="str">
        <f t="shared" ca="1" si="11"/>
        <v/>
      </c>
      <c r="AX34" s="45" t="str">
        <f t="shared" ca="1" si="11"/>
        <v/>
      </c>
      <c r="AY34" s="45" t="str">
        <f t="shared" ca="1" si="11"/>
        <v/>
      </c>
      <c r="AZ34" s="45" t="str">
        <f t="shared" ca="1" si="11"/>
        <v/>
      </c>
      <c r="BA34" s="45" t="str">
        <f t="shared" ca="1" si="11"/>
        <v/>
      </c>
      <c r="BB34" s="45" t="str">
        <f t="shared" ca="1" si="11"/>
        <v/>
      </c>
      <c r="BC34" s="45" t="str">
        <f t="shared" ca="1" si="11"/>
        <v/>
      </c>
      <c r="BD34" s="45" t="str">
        <f t="shared" ca="1" si="11"/>
        <v/>
      </c>
      <c r="BE34" s="45" t="str">
        <f t="shared" ca="1" si="11"/>
        <v/>
      </c>
      <c r="BF34" s="45" t="str">
        <f t="shared" ca="1" si="11"/>
        <v/>
      </c>
      <c r="BG34" s="45" t="str">
        <f t="shared" ca="1" si="11"/>
        <v/>
      </c>
      <c r="BH34" s="45" t="str">
        <f t="shared" ca="1" si="11"/>
        <v/>
      </c>
      <c r="BI34" s="45" t="str">
        <f t="shared" ca="1" si="11"/>
        <v/>
      </c>
      <c r="BJ34" s="45" t="str">
        <f t="shared" ca="1" si="11"/>
        <v/>
      </c>
      <c r="BK34" s="45" t="str">
        <f t="shared" ca="1" si="11"/>
        <v/>
      </c>
      <c r="BL34" s="45" t="str">
        <f t="shared" ca="1" si="11"/>
        <v/>
      </c>
      <c r="BM34" s="45" t="str">
        <f t="shared" si="11"/>
        <v/>
      </c>
    </row>
    <row r="35" spans="1:65" s="1" customFormat="1" ht="40.15" customHeight="1">
      <c r="A35" s="9"/>
      <c r="B35" s="121"/>
      <c r="C35" s="21" t="s">
        <v>42</v>
      </c>
      <c r="D35" s="21"/>
      <c r="E35" s="22"/>
      <c r="F35" s="23"/>
      <c r="G35" s="24"/>
      <c r="H35" s="19"/>
      <c r="I35" s="45" t="str">
        <f t="shared" ca="1" si="10"/>
        <v/>
      </c>
      <c r="J35" s="45" t="str">
        <f t="shared" ca="1" si="10"/>
        <v/>
      </c>
      <c r="K35" s="45" t="str">
        <f t="shared" ca="1" si="10"/>
        <v/>
      </c>
      <c r="L35" s="45" t="str">
        <f t="shared" ca="1" si="10"/>
        <v/>
      </c>
      <c r="M35" s="45" t="str">
        <f t="shared" ca="1" si="10"/>
        <v/>
      </c>
      <c r="N35" s="45" t="str">
        <f t="shared" ca="1" si="10"/>
        <v/>
      </c>
      <c r="O35" s="45" t="str">
        <f t="shared" ca="1" si="10"/>
        <v/>
      </c>
      <c r="P35" s="45" t="str">
        <f t="shared" ca="1" si="10"/>
        <v/>
      </c>
      <c r="Q35" s="45" t="str">
        <f t="shared" ca="1" si="10"/>
        <v/>
      </c>
      <c r="R35" s="45" t="str">
        <f t="shared" ca="1" si="10"/>
        <v/>
      </c>
      <c r="S35" s="45" t="str">
        <f t="shared" ca="1" si="10"/>
        <v/>
      </c>
      <c r="T35" s="45" t="str">
        <f t="shared" ca="1" si="10"/>
        <v/>
      </c>
      <c r="U35" s="45" t="str">
        <f t="shared" ca="1" si="10"/>
        <v/>
      </c>
      <c r="V35" s="45" t="str">
        <f t="shared" ca="1" si="10"/>
        <v/>
      </c>
      <c r="W35" s="45" t="str">
        <f t="shared" ca="1" si="10"/>
        <v/>
      </c>
      <c r="X35" s="45" t="str">
        <f t="shared" ca="1" si="10"/>
        <v/>
      </c>
      <c r="Y35" s="45" t="str">
        <f t="shared" ca="1" si="11"/>
        <v/>
      </c>
      <c r="Z35" s="45" t="str">
        <f t="shared" ca="1" si="11"/>
        <v/>
      </c>
      <c r="AA35" s="45" t="str">
        <f t="shared" ca="1" si="11"/>
        <v/>
      </c>
      <c r="AB35" s="45" t="str">
        <f t="shared" ca="1" si="11"/>
        <v/>
      </c>
      <c r="AC35" s="45" t="str">
        <f t="shared" ca="1" si="11"/>
        <v/>
      </c>
      <c r="AD35" s="45" t="str">
        <f t="shared" ca="1" si="11"/>
        <v/>
      </c>
      <c r="AE35" s="45" t="str">
        <f t="shared" ca="1" si="11"/>
        <v/>
      </c>
      <c r="AF35" s="45" t="str">
        <f t="shared" ca="1" si="11"/>
        <v/>
      </c>
      <c r="AG35" s="45" t="str">
        <f t="shared" ca="1" si="11"/>
        <v/>
      </c>
      <c r="AH35" s="45" t="str">
        <f t="shared" ca="1" si="11"/>
        <v/>
      </c>
      <c r="AI35" s="45" t="str">
        <f t="shared" ca="1" si="11"/>
        <v/>
      </c>
      <c r="AJ35" s="45" t="str">
        <f t="shared" ca="1" si="11"/>
        <v/>
      </c>
      <c r="AK35" s="45" t="str">
        <f t="shared" ca="1" si="11"/>
        <v/>
      </c>
      <c r="AL35" s="45" t="str">
        <f t="shared" ca="1" si="11"/>
        <v/>
      </c>
      <c r="AM35" s="45" t="str">
        <f t="shared" ca="1" si="11"/>
        <v/>
      </c>
      <c r="AN35" s="45" t="str">
        <f t="shared" ca="1" si="11"/>
        <v/>
      </c>
      <c r="AO35" s="45" t="str">
        <f t="shared" ca="1" si="11"/>
        <v/>
      </c>
      <c r="AP35" s="45" t="str">
        <f t="shared" ca="1" si="11"/>
        <v/>
      </c>
      <c r="AQ35" s="45" t="str">
        <f t="shared" ca="1" si="11"/>
        <v/>
      </c>
      <c r="AR35" s="45" t="str">
        <f t="shared" ca="1" si="11"/>
        <v/>
      </c>
      <c r="AS35" s="45" t="str">
        <f t="shared" ca="1" si="11"/>
        <v/>
      </c>
      <c r="AT35" s="45" t="str">
        <f t="shared" ca="1" si="11"/>
        <v/>
      </c>
      <c r="AU35" s="45" t="str">
        <f t="shared" ca="1" si="11"/>
        <v/>
      </c>
      <c r="AV35" s="45" t="str">
        <f t="shared" ca="1" si="11"/>
        <v/>
      </c>
      <c r="AW35" s="45" t="str">
        <f t="shared" ca="1" si="11"/>
        <v/>
      </c>
      <c r="AX35" s="45" t="str">
        <f t="shared" ca="1" si="11"/>
        <v/>
      </c>
      <c r="AY35" s="45" t="str">
        <f t="shared" ca="1" si="11"/>
        <v/>
      </c>
      <c r="AZ35" s="45" t="str">
        <f t="shared" ca="1" si="11"/>
        <v/>
      </c>
      <c r="BA35" s="45" t="str">
        <f t="shared" ca="1" si="11"/>
        <v/>
      </c>
      <c r="BB35" s="45" t="str">
        <f t="shared" ca="1" si="11"/>
        <v/>
      </c>
      <c r="BC35" s="45" t="str">
        <f t="shared" ca="1" si="11"/>
        <v/>
      </c>
      <c r="BD35" s="45" t="str">
        <f t="shared" ca="1" si="11"/>
        <v/>
      </c>
      <c r="BE35" s="45" t="str">
        <f t="shared" ca="1" si="11"/>
        <v/>
      </c>
      <c r="BF35" s="45" t="str">
        <f t="shared" ca="1" si="11"/>
        <v/>
      </c>
      <c r="BG35" s="45" t="str">
        <f t="shared" ca="1" si="11"/>
        <v/>
      </c>
      <c r="BH35" s="45" t="str">
        <f t="shared" ca="1" si="11"/>
        <v/>
      </c>
      <c r="BI35" s="45" t="str">
        <f t="shared" ca="1" si="11"/>
        <v/>
      </c>
      <c r="BJ35" s="45" t="str">
        <f t="shared" ca="1" si="11"/>
        <v/>
      </c>
      <c r="BK35" s="45" t="str">
        <f t="shared" ca="1" si="11"/>
        <v/>
      </c>
      <c r="BL35" s="45" t="str">
        <f t="shared" ca="1" si="11"/>
        <v/>
      </c>
      <c r="BM35" s="45" t="str">
        <f t="shared" si="11"/>
        <v/>
      </c>
    </row>
    <row r="36" spans="1:65" s="1" customFormat="1" ht="40.15" customHeight="1">
      <c r="A36" s="10"/>
      <c r="B36" s="114" t="s">
        <v>18</v>
      </c>
      <c r="C36" s="54"/>
      <c r="D36" s="54"/>
      <c r="E36" s="30"/>
      <c r="F36" s="55"/>
      <c r="G36" s="56"/>
      <c r="H36" s="19"/>
      <c r="I36" s="54"/>
      <c r="J36" s="54"/>
      <c r="K36" s="54"/>
      <c r="L36" s="54"/>
      <c r="M36" s="54"/>
      <c r="N36" s="54"/>
      <c r="O36" s="54"/>
      <c r="P36" s="54"/>
      <c r="Q36" s="54"/>
      <c r="R36" s="54"/>
      <c r="S36" s="54"/>
      <c r="T36" s="54"/>
      <c r="U36" s="54"/>
      <c r="V36" s="54"/>
      <c r="W36" s="54"/>
      <c r="X36" s="54"/>
      <c r="Y36" s="54"/>
      <c r="Z36" s="54"/>
      <c r="AA36" s="54"/>
      <c r="AB36" s="54"/>
      <c r="AC36" s="54"/>
      <c r="AD36" s="54"/>
      <c r="AE36" s="54"/>
      <c r="AF36" s="54"/>
      <c r="AG36" s="54"/>
      <c r="AH36" s="54"/>
      <c r="AI36" s="54"/>
      <c r="AJ36" s="54"/>
      <c r="AK36" s="54"/>
      <c r="AL36" s="54"/>
      <c r="AM36" s="54"/>
      <c r="AN36" s="54"/>
      <c r="AO36" s="54"/>
      <c r="AP36" s="54"/>
      <c r="AQ36" s="54"/>
      <c r="AR36" s="54"/>
      <c r="AS36" s="54"/>
      <c r="AT36" s="54"/>
      <c r="AU36" s="54"/>
      <c r="AV36" s="54"/>
      <c r="AW36" s="54"/>
      <c r="AX36" s="54"/>
      <c r="AY36" s="54"/>
      <c r="AZ36" s="54"/>
      <c r="BA36" s="54"/>
      <c r="BB36" s="54"/>
      <c r="BC36" s="54"/>
      <c r="BD36" s="54"/>
      <c r="BE36" s="54"/>
      <c r="BF36" s="54"/>
      <c r="BG36" s="54"/>
      <c r="BH36" s="54"/>
      <c r="BI36" s="54"/>
      <c r="BJ36" s="54"/>
      <c r="BK36" s="54"/>
      <c r="BL36" s="54"/>
      <c r="BM36" s="26"/>
    </row>
    <row r="37" spans="1:65" ht="30" customHeight="1">
      <c r="D37" s="4"/>
      <c r="G37" s="11"/>
      <c r="H37" s="3"/>
    </row>
    <row r="38" spans="1:65" ht="30" customHeight="1">
      <c r="D38" s="5"/>
    </row>
  </sheetData>
  <mergeCells count="8">
    <mergeCell ref="AJ4:AP4"/>
    <mergeCell ref="B2:H2"/>
    <mergeCell ref="I2:N2"/>
    <mergeCell ref="O2:T2"/>
    <mergeCell ref="I4:N4"/>
    <mergeCell ref="P4:U4"/>
    <mergeCell ref="W4:AB4"/>
    <mergeCell ref="AD4:AH4"/>
  </mergeCells>
  <phoneticPr fontId="34" type="noConversion"/>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17" priority="4">
      <formula>I$7&lt;=EOMONTH($I$7,0)</formula>
    </cfRule>
  </conditionalFormatting>
  <conditionalFormatting sqref="I6:BL6">
    <cfRule type="expression" dxfId="16" priority="2">
      <formula>AND(I$7&lt;=EOMONTH($I$7,1),I$7&gt;EOMONTH($I$7,0))</formula>
    </cfRule>
  </conditionalFormatting>
  <conditionalFormatting sqref="I7:BL10 I11:BM35 I36:BL36">
    <cfRule type="expression" dxfId="15" priority="1">
      <formula>AND(TODAY()&gt;=I$7,TODAY()&lt;J$7)</formula>
    </cfRule>
  </conditionalFormatting>
  <conditionalFormatting sqref="I10:BL10 I11:BM35">
    <cfRule type="expression" dxfId="14" priority="7" stopIfTrue="1">
      <formula>AND($C10="Ist",I$7&gt;=$F10,I$7&lt;=$F10+$G10-1)</formula>
    </cfRule>
    <cfRule type="expression" dxfId="13" priority="8" stopIfTrue="1">
      <formula>AND($C10="Hohes Risiko",I$7&gt;=$F10,I$7&lt;=$F10+$G10-1)</formula>
    </cfRule>
    <cfRule type="expression" dxfId="12" priority="9" stopIfTrue="1">
      <formula>AND($C10="Soll",I$7&gt;=$F10,I$7&lt;=$F10+$G10-1)</formula>
    </cfRule>
    <cfRule type="expression" dxfId="11" priority="10" stopIfTrue="1">
      <formula>AND($C10="Mittleres Risiko",I$7&gt;=$F10,I$7&lt;=$F10+$G10-1)</formula>
    </cfRule>
    <cfRule type="expression" dxfId="10" priority="11" stopIfTrue="1">
      <formula>AND(LEN($C10)=0,I$7&gt;=$F10,I$7&lt;=$F10+$G10-1)</formula>
    </cfRule>
  </conditionalFormatting>
  <conditionalFormatting sqref="J6:BL6">
    <cfRule type="expression" dxfId="9" priority="3">
      <formula>AND(J$7&lt;=EOMONTH($I$7,2),J$7&gt;EOMONTH($I$7,0),J$7&gt;EOMONTH($I$7,1))</formula>
    </cfRule>
  </conditionalFormatting>
  <dataValidations count="11">
    <dataValidation type="list" allowBlank="1" showInputMessage="1" sqref="C11" xr:uid="{DFFD23FF-9FE8-42D1-8B69-600D9BF05AA3}">
      <formula1>"Ziel,Meilenstein,Im Plan, Geringes Risiko, Mittleres Risiko, Hohes Risiko"</formula1>
    </dataValidation>
    <dataValidation type="list" allowBlank="1" showInputMessage="1" showErrorMessage="1" sqref="C10" xr:uid="{A2F07095-4C5B-4F26-9F4F-F9BCE27C6F5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0D643B7-C378-45A2-A932-672EA7F96D14}">
      <formula1>0</formula1>
    </dataValidation>
    <dataValidation allowBlank="1" showInputMessage="1" showErrorMessage="1" prompt="Dies ist eine leere Zeile." sqref="A35" xr:uid="{16EF2781-8358-4BE0-BED4-7AAF228778DA}"/>
    <dataValidation allowBlank="1" showInputMessage="1" showErrorMessage="1" prompt="Diese Zeile markiert das Ende der Gantt-Meilensteindaten. Geben Sie nichts in diese Zeile ein. _x000a_Um weitere Elemente hinzuzufügen, fügen Sie neue Zeilen darüber ein._x000a_" sqref="A36" xr:uid="{59304489-FD95-4DFE-BAF7-57A94B8EB2FD}"/>
    <dataValidation allowBlank="1" showInputMessage="1" showErrorMessage="1" sqref="A11 A6" xr:uid="{4DD4ED10-9AD6-4E16-B98D-780C2836D133}"/>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9B040C77-1487-444F-9200-4040ACDB2DA8}"/>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FBD9402-FBCE-4FA4-84F2-4E5944C4C8BC}"/>
    <dataValidation allowBlank="1" showInputMessage="1" showErrorMessage="1" prompt="Geben Sie den Firmennamen in Zelle B4._x000a_Eine Legende befindet sich in den Zellen I4 bis AC4. Das Legendenetikett befindet sich in Zelle G4." sqref="A4" xr:uid="{E8FF6BF3-823C-4A98-BBC9-FA2C64DA9486}"/>
    <dataValidation allowBlank="1" showInputMessage="1" showErrorMessage="1" promptTitle="Erstellen eines Gantt-Diagramms " sqref="A2" xr:uid="{B30ABCC4-AAAD-48D6-8EEB-7C14721C5981}"/>
    <dataValidation type="list" allowBlank="1" showInputMessage="1" showErrorMessage="1" sqref="C12:C35" xr:uid="{FDAEC9E9-3E45-4F5B-BB2D-B145CC9B4D91}">
      <formula1>"Soll,Ist"</formula1>
    </dataValidation>
  </dataValidations>
  <printOptions horizontalCentered="1"/>
  <pageMargins left="0.25" right="0.25" top="0.5" bottom="0.5" header="0.3" footer="0.3"/>
  <pageSetup paperSize="9" scale="41" fitToHeight="0" orientation="landscape" r:id="rId1"/>
  <headerFooter differentFirst="1" scaleWithDoc="0">
    <oddFooter>Page &amp;P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I10:BL10 I11:BM35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pageSetUpPr fitToPage="1"/>
  </sheetPr>
  <dimension ref="A1:BP38"/>
  <sheetViews>
    <sheetView showGridLines="0" showRuler="0" zoomScaleNormal="100" zoomScalePageLayoutView="70" workbookViewId="0"/>
  </sheetViews>
  <sheetFormatPr baseColWidth="10" defaultColWidth="9.140625" defaultRowHeight="30" customHeight="1"/>
  <cols>
    <col min="1" max="1" width="4.7109375" style="9" customWidth="1"/>
    <col min="2" max="2" width="37.85546875" customWidth="1"/>
    <col min="3" max="3" width="15.28515625" customWidth="1"/>
    <col min="4" max="4" width="20.5703125" customWidth="1"/>
    <col min="5" max="5" width="15.7109375" customWidth="1"/>
    <col min="6" max="6" width="10.42578125" style="2" customWidth="1"/>
    <col min="7" max="7" width="10.42578125" customWidth="1"/>
    <col min="8" max="8" width="2.7109375" customWidth="1"/>
    <col min="9" max="64" width="3.5703125" customWidth="1"/>
    <col min="65" max="65" width="2.7109375" customWidth="1"/>
  </cols>
  <sheetData>
    <row r="1" spans="1:68" ht="25.15" customHeight="1"/>
    <row r="2" spans="1:68" ht="49.9" customHeight="1">
      <c r="A2" s="10"/>
      <c r="B2" s="140" t="s">
        <v>3</v>
      </c>
      <c r="C2" s="140"/>
      <c r="D2" s="140"/>
      <c r="E2" s="140"/>
      <c r="F2" s="140"/>
      <c r="G2" s="140"/>
      <c r="H2" s="140"/>
      <c r="I2" s="141"/>
      <c r="J2" s="141"/>
      <c r="K2" s="141"/>
      <c r="L2" s="141"/>
      <c r="M2" s="141"/>
      <c r="N2" s="141"/>
      <c r="O2" s="142"/>
      <c r="P2" s="142"/>
      <c r="Q2" s="142"/>
      <c r="R2" s="142"/>
      <c r="S2" s="142"/>
      <c r="T2" s="142"/>
      <c r="U2" s="94"/>
      <c r="V2" s="94"/>
      <c r="W2" s="94"/>
      <c r="X2" s="94"/>
      <c r="Y2" s="94"/>
      <c r="Z2" s="94"/>
      <c r="AA2" s="94"/>
      <c r="AB2" s="94"/>
      <c r="AC2" s="94"/>
      <c r="AD2" s="94"/>
      <c r="AE2" s="94"/>
      <c r="AF2" s="94"/>
      <c r="AG2" s="94"/>
      <c r="AH2" s="94"/>
      <c r="AI2" s="94"/>
      <c r="AJ2" s="94"/>
      <c r="AK2" s="94"/>
      <c r="AL2" s="94"/>
      <c r="AM2" s="94"/>
      <c r="AN2" s="94"/>
      <c r="AO2" s="94"/>
      <c r="AP2" s="94"/>
      <c r="AQ2" s="94"/>
      <c r="AR2" s="94"/>
      <c r="AS2" s="94"/>
      <c r="AT2" s="94"/>
      <c r="AU2" s="94"/>
      <c r="AV2" s="94"/>
      <c r="AW2" s="94"/>
      <c r="AX2" s="94"/>
      <c r="AY2" s="94"/>
      <c r="AZ2" s="94"/>
      <c r="BA2" s="94"/>
      <c r="BB2" s="94"/>
      <c r="BC2" s="94"/>
      <c r="BD2" s="94"/>
      <c r="BE2" s="94"/>
      <c r="BF2" s="94"/>
      <c r="BG2" s="94"/>
      <c r="BH2" s="94"/>
      <c r="BI2" s="94"/>
      <c r="BJ2" s="94"/>
      <c r="BK2" s="94"/>
      <c r="BL2" s="94"/>
      <c r="BM2" s="94"/>
    </row>
    <row r="3" spans="1:68" ht="19.899999999999999" customHeight="1">
      <c r="A3" s="10"/>
      <c r="B3" s="65"/>
      <c r="C3" s="66"/>
      <c r="D3" s="67"/>
      <c r="E3" s="67"/>
      <c r="F3" s="68"/>
      <c r="G3" s="67"/>
      <c r="H3" s="67"/>
      <c r="I3" s="81"/>
      <c r="J3" s="1"/>
      <c r="K3" s="1"/>
      <c r="L3" s="1"/>
    </row>
    <row r="4" spans="1:68" ht="30" customHeight="1">
      <c r="A4" s="10"/>
      <c r="B4" s="69" t="s">
        <v>4</v>
      </c>
      <c r="C4" s="70"/>
      <c r="D4" s="71"/>
      <c r="E4" s="72"/>
      <c r="F4" s="73"/>
      <c r="G4" s="74" t="s">
        <v>30</v>
      </c>
      <c r="H4" s="72"/>
      <c r="I4" s="129" t="s">
        <v>25</v>
      </c>
      <c r="J4" s="129"/>
      <c r="K4" s="129"/>
      <c r="L4" s="129"/>
      <c r="M4" s="129"/>
      <c r="N4" s="129"/>
      <c r="P4" s="130" t="s">
        <v>22</v>
      </c>
      <c r="Q4" s="130"/>
      <c r="R4" s="130"/>
      <c r="S4" s="130"/>
      <c r="T4" s="130"/>
      <c r="U4" s="130"/>
      <c r="W4" s="131" t="s">
        <v>23</v>
      </c>
      <c r="X4" s="131"/>
      <c r="Y4" s="131"/>
      <c r="Z4" s="131"/>
      <c r="AA4" s="131"/>
      <c r="AB4" s="131"/>
      <c r="AD4" s="132" t="s">
        <v>32</v>
      </c>
      <c r="AE4" s="132"/>
      <c r="AF4" s="132"/>
      <c r="AG4" s="132"/>
      <c r="AH4" s="132"/>
      <c r="AJ4" s="124" t="s">
        <v>33</v>
      </c>
      <c r="AK4" s="124"/>
      <c r="AL4" s="124"/>
      <c r="AM4" s="124"/>
      <c r="AN4" s="124"/>
      <c r="AO4" s="124"/>
      <c r="AP4" s="124"/>
    </row>
    <row r="5" spans="1:68" ht="30" customHeight="1">
      <c r="A5" s="10" t="s">
        <v>34</v>
      </c>
      <c r="B5" s="75" t="s">
        <v>5</v>
      </c>
      <c r="C5" s="71"/>
      <c r="D5" s="71"/>
      <c r="E5" s="72"/>
      <c r="F5" s="73"/>
      <c r="G5" s="72"/>
      <c r="H5" s="72"/>
    </row>
    <row r="6" spans="1:68" ht="30" customHeight="1">
      <c r="A6" s="10"/>
      <c r="B6" s="76" t="s">
        <v>6</v>
      </c>
      <c r="C6" s="77" cm="1">
        <f t="array" aca="1" ref="C6" ca="1">IFERROR(IF(MIN(Meilensteine43524[Start])=0,TODAY(),B11(Meilensteine43524[Start])),TODAY())</f>
        <v>46070</v>
      </c>
      <c r="D6" s="78"/>
      <c r="E6" s="72"/>
      <c r="F6" s="73"/>
      <c r="G6" s="72"/>
      <c r="H6" s="72"/>
      <c r="I6" s="88" t="str">
        <f ca="1">TEXT(I7,"MMMM")</f>
        <v>Februar</v>
      </c>
      <c r="J6" s="88"/>
      <c r="K6" s="88"/>
      <c r="L6" s="88"/>
      <c r="M6" s="88"/>
      <c r="N6" s="88"/>
      <c r="O6" s="88"/>
      <c r="P6" s="88" t="str">
        <f ca="1">IF(TEXT(P7,"MMMM")=I6,"",TEXT(P7,"MMMM"))</f>
        <v/>
      </c>
      <c r="Q6" s="88"/>
      <c r="R6" s="88"/>
      <c r="S6" s="88"/>
      <c r="T6" s="88"/>
      <c r="U6" s="88"/>
      <c r="V6" s="88"/>
      <c r="W6" s="88" t="str">
        <f ca="1">IF(OR(TEXT(W7,"MMMM")=P6,TEXT(W7,"MMMM")=I6),"",TEXT(W7,"MMMM"))</f>
        <v>März</v>
      </c>
      <c r="X6" s="88"/>
      <c r="Y6" s="88"/>
      <c r="Z6" s="88"/>
      <c r="AA6" s="88"/>
      <c r="AB6" s="88"/>
      <c r="AC6" s="88"/>
      <c r="AD6" s="88" t="str">
        <f ca="1">IF(OR(TEXT(AD7,"MMMM")=W6,TEXT(AD7,"MMMM")=P6,TEXT(AD7,"MMMM")=I6),"",TEXT(AD7,"MMMM"))</f>
        <v/>
      </c>
      <c r="AE6" s="88"/>
      <c r="AF6" s="88"/>
      <c r="AG6" s="88"/>
      <c r="AH6" s="88"/>
      <c r="AI6" s="88"/>
      <c r="AJ6" s="88"/>
      <c r="AK6" s="88" t="str">
        <f ca="1">IF(OR(TEXT(AK7,"MMMM")=AD6,TEXT(AK7,"MMMM")=W6,TEXT(AK7,"MMMM")=P6,TEXT(AK7,"MMMM")=I6),"",TEXT(AK7,"MMMM"))</f>
        <v/>
      </c>
      <c r="AL6" s="88"/>
      <c r="AM6" s="88"/>
      <c r="AN6" s="88"/>
      <c r="AO6" s="88"/>
      <c r="AP6" s="88"/>
      <c r="AQ6" s="88"/>
      <c r="AR6" s="88" t="str">
        <f ca="1">IF(OR(TEXT(AR7,"MMMM")=AK6,TEXT(AR7,"MMMM")=AD6,TEXT(AR7,"MMMM")=W6,TEXT(AR7,"MMMM")=P6),"",TEXT(AR7,"MMMM"))</f>
        <v/>
      </c>
      <c r="AS6" s="88"/>
      <c r="AT6" s="88"/>
      <c r="AU6" s="88"/>
      <c r="AV6" s="88"/>
      <c r="AW6" s="88"/>
      <c r="AX6" s="89"/>
      <c r="AY6" s="89" t="str">
        <f ca="1">IF(OR(TEXT(AY7,"MMMM")=AR6,TEXT(AY7,"MMMM")=AK6,TEXT(AY7,"MMMM")=AD6,TEXT(AY7,"MMMM")=W6),"",TEXT(AY7,"MMMM"))</f>
        <v>April</v>
      </c>
      <c r="AZ6" s="89"/>
      <c r="BA6" s="89"/>
      <c r="BB6" s="90"/>
      <c r="BC6" s="87"/>
      <c r="BD6" s="87"/>
      <c r="BE6" s="87"/>
      <c r="BF6" s="87" t="str">
        <f ca="1">IF(OR(TEXT(BF7,"MMMM")=AY6,TEXT(BF7,"MMMM")=AR6,TEXT(BF7,"MMMM")=AK6,TEXT(BF7,"MMMM")=AD6),"",TEXT(BF7,"MMMM"))</f>
        <v/>
      </c>
      <c r="BG6" s="87"/>
      <c r="BH6" s="87"/>
      <c r="BI6" s="87"/>
      <c r="BJ6" s="87"/>
      <c r="BK6" s="87"/>
      <c r="BL6" s="87"/>
    </row>
    <row r="7" spans="1:68" ht="30" customHeight="1">
      <c r="A7" s="10"/>
      <c r="B7" s="76" t="s">
        <v>7</v>
      </c>
      <c r="C7" s="79">
        <v>1</v>
      </c>
      <c r="D7" s="71"/>
      <c r="E7" s="72"/>
      <c r="F7" s="72"/>
      <c r="G7" s="72"/>
      <c r="H7" s="80"/>
      <c r="I7" s="95">
        <f ca="1">IFERROR(Projekt_Start+Scrollschrittweite,TODAY())</f>
        <v>46071</v>
      </c>
      <c r="J7" s="96">
        <f ca="1">I7+1</f>
        <v>46072</v>
      </c>
      <c r="K7" s="96">
        <f t="shared" ref="K7:AX7" ca="1" si="0">J7+1</f>
        <v>46073</v>
      </c>
      <c r="L7" s="96">
        <f t="shared" ca="1" si="0"/>
        <v>46074</v>
      </c>
      <c r="M7" s="96">
        <f t="shared" ca="1" si="0"/>
        <v>46075</v>
      </c>
      <c r="N7" s="96">
        <f t="shared" ca="1" si="0"/>
        <v>46076</v>
      </c>
      <c r="O7" s="97">
        <f t="shared" ca="1" si="0"/>
        <v>46077</v>
      </c>
      <c r="P7" s="96">
        <f ca="1">O7+1</f>
        <v>46078</v>
      </c>
      <c r="Q7" s="96">
        <f ca="1">P7+1</f>
        <v>46079</v>
      </c>
      <c r="R7" s="96">
        <f t="shared" ca="1" si="0"/>
        <v>46080</v>
      </c>
      <c r="S7" s="96">
        <f t="shared" ca="1" si="0"/>
        <v>46081</v>
      </c>
      <c r="T7" s="96">
        <f t="shared" ca="1" si="0"/>
        <v>46082</v>
      </c>
      <c r="U7" s="96">
        <f t="shared" ca="1" si="0"/>
        <v>46083</v>
      </c>
      <c r="V7" s="97">
        <f t="shared" ca="1" si="0"/>
        <v>46084</v>
      </c>
      <c r="W7" s="96">
        <f ca="1">V7+1</f>
        <v>46085</v>
      </c>
      <c r="X7" s="96">
        <f ca="1">W7+1</f>
        <v>46086</v>
      </c>
      <c r="Y7" s="96">
        <f t="shared" ca="1" si="0"/>
        <v>46087</v>
      </c>
      <c r="Z7" s="96">
        <f t="shared" ca="1" si="0"/>
        <v>46088</v>
      </c>
      <c r="AA7" s="96">
        <f t="shared" ca="1" si="0"/>
        <v>46089</v>
      </c>
      <c r="AB7" s="96">
        <f t="shared" ca="1" si="0"/>
        <v>46090</v>
      </c>
      <c r="AC7" s="97">
        <f t="shared" ca="1" si="0"/>
        <v>46091</v>
      </c>
      <c r="AD7" s="96">
        <f ca="1">AC7+1</f>
        <v>46092</v>
      </c>
      <c r="AE7" s="96">
        <f ca="1">AD7+1</f>
        <v>46093</v>
      </c>
      <c r="AF7" s="96">
        <f t="shared" ca="1" si="0"/>
        <v>46094</v>
      </c>
      <c r="AG7" s="96">
        <f t="shared" ca="1" si="0"/>
        <v>46095</v>
      </c>
      <c r="AH7" s="96">
        <f t="shared" ca="1" si="0"/>
        <v>46096</v>
      </c>
      <c r="AI7" s="96">
        <f t="shared" ca="1" si="0"/>
        <v>46097</v>
      </c>
      <c r="AJ7" s="97">
        <f t="shared" ca="1" si="0"/>
        <v>46098</v>
      </c>
      <c r="AK7" s="96">
        <f ca="1">AJ7+1</f>
        <v>46099</v>
      </c>
      <c r="AL7" s="96">
        <f ca="1">AK7+1</f>
        <v>46100</v>
      </c>
      <c r="AM7" s="96">
        <f t="shared" ca="1" si="0"/>
        <v>46101</v>
      </c>
      <c r="AN7" s="96">
        <f t="shared" ca="1" si="0"/>
        <v>46102</v>
      </c>
      <c r="AO7" s="96">
        <f t="shared" ca="1" si="0"/>
        <v>46103</v>
      </c>
      <c r="AP7" s="96">
        <f t="shared" ca="1" si="0"/>
        <v>46104</v>
      </c>
      <c r="AQ7" s="97">
        <f t="shared" ca="1" si="0"/>
        <v>46105</v>
      </c>
      <c r="AR7" s="96">
        <f ca="1">AQ7+1</f>
        <v>46106</v>
      </c>
      <c r="AS7" s="96">
        <f ca="1">AR7+1</f>
        <v>46107</v>
      </c>
      <c r="AT7" s="96">
        <f t="shared" ca="1" si="0"/>
        <v>46108</v>
      </c>
      <c r="AU7" s="96">
        <f t="shared" ca="1" si="0"/>
        <v>46109</v>
      </c>
      <c r="AV7" s="96">
        <f t="shared" ca="1" si="0"/>
        <v>46110</v>
      </c>
      <c r="AW7" s="96">
        <f t="shared" ca="1" si="0"/>
        <v>46111</v>
      </c>
      <c r="AX7" s="97">
        <f t="shared" ca="1" si="0"/>
        <v>46112</v>
      </c>
      <c r="AY7" s="96">
        <f ca="1">AX7+1</f>
        <v>46113</v>
      </c>
      <c r="AZ7" s="96">
        <f ca="1">AY7+1</f>
        <v>46114</v>
      </c>
      <c r="BA7" s="96">
        <f t="shared" ref="BA7:BE7" ca="1" si="1">AZ7+1</f>
        <v>46115</v>
      </c>
      <c r="BB7" s="96">
        <f t="shared" ca="1" si="1"/>
        <v>46116</v>
      </c>
      <c r="BC7" s="96">
        <f t="shared" ca="1" si="1"/>
        <v>46117</v>
      </c>
      <c r="BD7" s="96">
        <f t="shared" ca="1" si="1"/>
        <v>46118</v>
      </c>
      <c r="BE7" s="97">
        <f t="shared" ca="1" si="1"/>
        <v>46119</v>
      </c>
      <c r="BF7" s="96">
        <f ca="1">BE7+1</f>
        <v>46120</v>
      </c>
      <c r="BG7" s="96">
        <f ca="1">BF7+1</f>
        <v>46121</v>
      </c>
      <c r="BH7" s="96">
        <f t="shared" ref="BH7:BL7" ca="1" si="2">BG7+1</f>
        <v>46122</v>
      </c>
      <c r="BI7" s="96">
        <f t="shared" ca="1" si="2"/>
        <v>46123</v>
      </c>
      <c r="BJ7" s="96">
        <f t="shared" ca="1" si="2"/>
        <v>46124</v>
      </c>
      <c r="BK7" s="96">
        <f t="shared" ca="1" si="2"/>
        <v>46125</v>
      </c>
      <c r="BL7" s="97">
        <f t="shared" ca="1" si="2"/>
        <v>46126</v>
      </c>
    </row>
    <row r="8" spans="1:68" ht="19.899999999999999" customHeight="1">
      <c r="A8" s="10"/>
      <c r="B8" s="71"/>
      <c r="C8" s="71"/>
      <c r="D8" s="71"/>
      <c r="E8" s="72"/>
      <c r="F8" s="72"/>
      <c r="G8" s="72"/>
      <c r="H8" s="80"/>
      <c r="I8" s="98"/>
      <c r="J8" s="99"/>
      <c r="K8" s="99"/>
      <c r="L8" s="99"/>
      <c r="M8" s="99"/>
      <c r="N8" s="99"/>
      <c r="O8" s="99"/>
      <c r="P8" s="100"/>
      <c r="Q8" s="99"/>
      <c r="R8" s="99"/>
      <c r="S8" s="99"/>
      <c r="T8" s="99"/>
      <c r="U8" s="99"/>
      <c r="V8" s="101"/>
      <c r="W8" s="99"/>
      <c r="X8" s="99"/>
      <c r="Y8" s="99"/>
      <c r="Z8" s="99"/>
      <c r="AA8" s="99"/>
      <c r="AB8" s="99"/>
      <c r="AC8" s="101"/>
      <c r="AD8" s="99"/>
      <c r="AE8" s="99"/>
      <c r="AF8" s="99"/>
      <c r="AG8" s="99"/>
      <c r="AH8" s="99"/>
      <c r="AI8" s="99"/>
      <c r="AJ8" s="101"/>
      <c r="AK8" s="99"/>
      <c r="AL8" s="99"/>
      <c r="AM8" s="99"/>
      <c r="AN8" s="99"/>
      <c r="AO8" s="99"/>
      <c r="AP8" s="99"/>
      <c r="AQ8" s="101"/>
      <c r="AR8" s="99"/>
      <c r="AS8" s="99"/>
      <c r="AT8" s="99"/>
      <c r="AU8" s="99"/>
      <c r="AV8" s="99"/>
      <c r="AW8" s="99"/>
      <c r="AX8" s="101"/>
      <c r="AY8" s="99"/>
      <c r="AZ8" s="99"/>
      <c r="BA8" s="99"/>
      <c r="BB8" s="99"/>
      <c r="BC8" s="99"/>
      <c r="BD8" s="99"/>
      <c r="BE8" s="101"/>
      <c r="BF8" s="99"/>
      <c r="BG8" s="99"/>
      <c r="BH8" s="99"/>
      <c r="BI8" s="99"/>
      <c r="BJ8" s="99"/>
      <c r="BK8" s="99"/>
      <c r="BL8" s="102"/>
    </row>
    <row r="9" spans="1:68" ht="40.15" customHeight="1">
      <c r="A9" s="10" t="s">
        <v>35</v>
      </c>
      <c r="B9" s="118" t="s">
        <v>8</v>
      </c>
      <c r="C9" s="119" t="s">
        <v>19</v>
      </c>
      <c r="D9" s="119" t="s">
        <v>26</v>
      </c>
      <c r="E9" s="119" t="s">
        <v>28</v>
      </c>
      <c r="F9" s="119" t="s">
        <v>29</v>
      </c>
      <c r="G9" s="119" t="s">
        <v>31</v>
      </c>
      <c r="H9" s="85"/>
      <c r="I9" s="103" t="str">
        <f t="shared" ref="I9:AN9" ca="1" si="3">LEFT(TEXT(I7,"TTT"),1)</f>
        <v>M</v>
      </c>
      <c r="J9" s="103" t="str">
        <f t="shared" ca="1" si="3"/>
        <v>D</v>
      </c>
      <c r="K9" s="103" t="str">
        <f t="shared" ca="1" si="3"/>
        <v>F</v>
      </c>
      <c r="L9" s="103" t="str">
        <f t="shared" ca="1" si="3"/>
        <v>S</v>
      </c>
      <c r="M9" s="103" t="str">
        <f t="shared" ca="1" si="3"/>
        <v>S</v>
      </c>
      <c r="N9" s="103" t="str">
        <f t="shared" ca="1" si="3"/>
        <v>M</v>
      </c>
      <c r="O9" s="103" t="str">
        <f t="shared" ca="1" si="3"/>
        <v>D</v>
      </c>
      <c r="P9" s="103" t="str">
        <f t="shared" ca="1" si="3"/>
        <v>M</v>
      </c>
      <c r="Q9" s="103" t="str">
        <f t="shared" ca="1" si="3"/>
        <v>D</v>
      </c>
      <c r="R9" s="103" t="str">
        <f t="shared" ca="1" si="3"/>
        <v>F</v>
      </c>
      <c r="S9" s="103" t="str">
        <f t="shared" ca="1" si="3"/>
        <v>S</v>
      </c>
      <c r="T9" s="103" t="str">
        <f t="shared" ca="1" si="3"/>
        <v>S</v>
      </c>
      <c r="U9" s="103" t="str">
        <f t="shared" ca="1" si="3"/>
        <v>M</v>
      </c>
      <c r="V9" s="103" t="str">
        <f t="shared" ca="1" si="3"/>
        <v>D</v>
      </c>
      <c r="W9" s="103" t="str">
        <f t="shared" ca="1" si="3"/>
        <v>M</v>
      </c>
      <c r="X9" s="103" t="str">
        <f t="shared" ca="1" si="3"/>
        <v>D</v>
      </c>
      <c r="Y9" s="103" t="str">
        <f t="shared" ca="1" si="3"/>
        <v>F</v>
      </c>
      <c r="Z9" s="103" t="str">
        <f t="shared" ca="1" si="3"/>
        <v>S</v>
      </c>
      <c r="AA9" s="103" t="str">
        <f t="shared" ca="1" si="3"/>
        <v>S</v>
      </c>
      <c r="AB9" s="103" t="str">
        <f t="shared" ca="1" si="3"/>
        <v>M</v>
      </c>
      <c r="AC9" s="103" t="str">
        <f t="shared" ca="1" si="3"/>
        <v>D</v>
      </c>
      <c r="AD9" s="103" t="str">
        <f t="shared" ca="1" si="3"/>
        <v>M</v>
      </c>
      <c r="AE9" s="103" t="str">
        <f t="shared" ca="1" si="3"/>
        <v>D</v>
      </c>
      <c r="AF9" s="103" t="str">
        <f t="shared" ca="1" si="3"/>
        <v>F</v>
      </c>
      <c r="AG9" s="103" t="str">
        <f t="shared" ca="1" si="3"/>
        <v>S</v>
      </c>
      <c r="AH9" s="103" t="str">
        <f t="shared" ca="1" si="3"/>
        <v>S</v>
      </c>
      <c r="AI9" s="103" t="str">
        <f t="shared" ca="1" si="3"/>
        <v>M</v>
      </c>
      <c r="AJ9" s="103" t="str">
        <f t="shared" ca="1" si="3"/>
        <v>D</v>
      </c>
      <c r="AK9" s="103" t="str">
        <f t="shared" ca="1" si="3"/>
        <v>M</v>
      </c>
      <c r="AL9" s="103" t="str">
        <f t="shared" ca="1" si="3"/>
        <v>D</v>
      </c>
      <c r="AM9" s="103" t="str">
        <f t="shared" ca="1" si="3"/>
        <v>F</v>
      </c>
      <c r="AN9" s="103" t="str">
        <f t="shared" ca="1" si="3"/>
        <v>S</v>
      </c>
      <c r="AO9" s="103" t="str">
        <f t="shared" ref="AO9:BL9" ca="1" si="4">LEFT(TEXT(AO7,"TTT"),1)</f>
        <v>S</v>
      </c>
      <c r="AP9" s="103" t="str">
        <f t="shared" ca="1" si="4"/>
        <v>M</v>
      </c>
      <c r="AQ9" s="103" t="str">
        <f t="shared" ca="1" si="4"/>
        <v>D</v>
      </c>
      <c r="AR9" s="103" t="str">
        <f t="shared" ca="1" si="4"/>
        <v>M</v>
      </c>
      <c r="AS9" s="103" t="str">
        <f t="shared" ca="1" si="4"/>
        <v>D</v>
      </c>
      <c r="AT9" s="103" t="str">
        <f t="shared" ca="1" si="4"/>
        <v>F</v>
      </c>
      <c r="AU9" s="103" t="str">
        <f t="shared" ca="1" si="4"/>
        <v>S</v>
      </c>
      <c r="AV9" s="103" t="str">
        <f t="shared" ca="1" si="4"/>
        <v>S</v>
      </c>
      <c r="AW9" s="103" t="str">
        <f t="shared" ca="1" si="4"/>
        <v>M</v>
      </c>
      <c r="AX9" s="103" t="str">
        <f t="shared" ca="1" si="4"/>
        <v>D</v>
      </c>
      <c r="AY9" s="103" t="str">
        <f t="shared" ca="1" si="4"/>
        <v>M</v>
      </c>
      <c r="AZ9" s="103" t="str">
        <f t="shared" ca="1" si="4"/>
        <v>D</v>
      </c>
      <c r="BA9" s="103" t="str">
        <f t="shared" ca="1" si="4"/>
        <v>F</v>
      </c>
      <c r="BB9" s="103" t="str">
        <f t="shared" ca="1" si="4"/>
        <v>S</v>
      </c>
      <c r="BC9" s="103" t="str">
        <f t="shared" ca="1" si="4"/>
        <v>S</v>
      </c>
      <c r="BD9" s="103" t="str">
        <f t="shared" ca="1" si="4"/>
        <v>M</v>
      </c>
      <c r="BE9" s="103" t="str">
        <f t="shared" ca="1" si="4"/>
        <v>D</v>
      </c>
      <c r="BF9" s="103" t="str">
        <f t="shared" ca="1" si="4"/>
        <v>M</v>
      </c>
      <c r="BG9" s="103" t="str">
        <f t="shared" ca="1" si="4"/>
        <v>D</v>
      </c>
      <c r="BH9" s="103" t="str">
        <f t="shared" ca="1" si="4"/>
        <v>F</v>
      </c>
      <c r="BI9" s="103" t="str">
        <f t="shared" ca="1" si="4"/>
        <v>S</v>
      </c>
      <c r="BJ9" s="103" t="str">
        <f t="shared" ca="1" si="4"/>
        <v>S</v>
      </c>
      <c r="BK9" s="103" t="str">
        <f t="shared" ca="1" si="4"/>
        <v>M</v>
      </c>
      <c r="BL9" s="103" t="str">
        <f t="shared" ca="1" si="4"/>
        <v>D</v>
      </c>
    </row>
    <row r="10" spans="1:68" ht="30" hidden="1" customHeight="1">
      <c r="B10" s="16"/>
      <c r="C10" s="13"/>
      <c r="D10" s="12"/>
      <c r="E10" s="13"/>
      <c r="F10" s="14"/>
      <c r="G10" s="15"/>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row>
    <row r="11" spans="1:68" s="1" customFormat="1" ht="40.15" customHeight="1">
      <c r="A11" s="10"/>
      <c r="B11" s="113" t="s">
        <v>9</v>
      </c>
      <c r="C11" s="57"/>
      <c r="D11" s="57"/>
      <c r="E11" s="58"/>
      <c r="F11" s="59"/>
      <c r="G11" s="60"/>
      <c r="H11" s="57"/>
      <c r="I11" s="25" t="str">
        <f t="shared" ref="I11:X26" ca="1" si="5">IF(AND($C11="Ziel",I$7&gt;=$F11,I$7&lt;=$F11+$G11-1),2,IF(AND($C11="Meilenstein",I$7&gt;=$F11,I$7&lt;=$F11+$G11-1),1,""))</f>
        <v/>
      </c>
      <c r="J11" s="25" t="str">
        <f t="shared" ca="1" si="5"/>
        <v/>
      </c>
      <c r="K11" s="25" t="str">
        <f t="shared" ca="1" si="5"/>
        <v/>
      </c>
      <c r="L11" s="25" t="str">
        <f t="shared" ca="1" si="5"/>
        <v/>
      </c>
      <c r="M11" s="25" t="str">
        <f t="shared" ca="1" si="5"/>
        <v/>
      </c>
      <c r="N11" s="25" t="str">
        <f t="shared" ca="1" si="5"/>
        <v/>
      </c>
      <c r="O11" s="25" t="str">
        <f t="shared" ca="1" si="5"/>
        <v/>
      </c>
      <c r="P11" s="25" t="str">
        <f t="shared" ca="1" si="5"/>
        <v/>
      </c>
      <c r="Q11" s="25" t="str">
        <f t="shared" ca="1" si="5"/>
        <v/>
      </c>
      <c r="R11" s="25" t="str">
        <f t="shared" ca="1" si="5"/>
        <v/>
      </c>
      <c r="S11" s="25" t="str">
        <f t="shared" ca="1" si="5"/>
        <v/>
      </c>
      <c r="T11" s="25" t="str">
        <f t="shared" ca="1" si="5"/>
        <v/>
      </c>
      <c r="U11" s="25" t="str">
        <f t="shared" ca="1" si="5"/>
        <v/>
      </c>
      <c r="V11" s="25" t="str">
        <f t="shared" ca="1" si="5"/>
        <v/>
      </c>
      <c r="W11" s="25" t="str">
        <f t="shared" ca="1" si="5"/>
        <v/>
      </c>
      <c r="X11" s="25" t="str">
        <f t="shared" ca="1" si="5"/>
        <v/>
      </c>
      <c r="Y11" s="25" t="str">
        <f t="shared" ref="Y11:AN26" ca="1" si="6">IF(AND($C11="Ziel",Y$7&gt;=$F11,Y$7&lt;=$F11+$G11-1),2,IF(AND($C11="Meilenstein",Y$7&gt;=$F11,Y$7&lt;=$F11+$G11-1),1,""))</f>
        <v/>
      </c>
      <c r="Z11" s="25" t="str">
        <f t="shared" ca="1" si="6"/>
        <v/>
      </c>
      <c r="AA11" s="25" t="str">
        <f t="shared" ca="1" si="6"/>
        <v/>
      </c>
      <c r="AB11" s="25" t="str">
        <f t="shared" ca="1" si="6"/>
        <v/>
      </c>
      <c r="AC11" s="25" t="str">
        <f t="shared" ca="1" si="6"/>
        <v/>
      </c>
      <c r="AD11" s="25" t="str">
        <f t="shared" ca="1" si="6"/>
        <v/>
      </c>
      <c r="AE11" s="25" t="str">
        <f t="shared" ca="1" si="6"/>
        <v/>
      </c>
      <c r="AF11" s="25" t="str">
        <f t="shared" ca="1" si="6"/>
        <v/>
      </c>
      <c r="AG11" s="25" t="str">
        <f t="shared" ca="1" si="6"/>
        <v/>
      </c>
      <c r="AH11" s="25" t="str">
        <f t="shared" ca="1" si="6"/>
        <v/>
      </c>
      <c r="AI11" s="25" t="str">
        <f t="shared" ca="1" si="6"/>
        <v/>
      </c>
      <c r="AJ11" s="25" t="str">
        <f t="shared" ca="1" si="6"/>
        <v/>
      </c>
      <c r="AK11" s="25" t="str">
        <f t="shared" ca="1" si="6"/>
        <v/>
      </c>
      <c r="AL11" s="25" t="str">
        <f t="shared" ca="1" si="6"/>
        <v/>
      </c>
      <c r="AM11" s="25" t="str">
        <f t="shared" ca="1" si="6"/>
        <v/>
      </c>
      <c r="AN11" s="25" t="str">
        <f t="shared" ca="1" si="6"/>
        <v/>
      </c>
      <c r="AO11" s="25" t="str">
        <f t="shared" ref="AO11:BD26" ca="1" si="7">IF(AND($C11="Ziel",AO$7&gt;=$F11,AO$7&lt;=$F11+$G11-1),2,IF(AND($C11="Meilenstein",AO$7&gt;=$F11,AO$7&lt;=$F11+$G11-1),1,""))</f>
        <v/>
      </c>
      <c r="AP11" s="25" t="str">
        <f t="shared" ca="1" si="7"/>
        <v/>
      </c>
      <c r="AQ11" s="25" t="str">
        <f t="shared" ca="1" si="7"/>
        <v/>
      </c>
      <c r="AR11" s="25" t="str">
        <f t="shared" ca="1" si="7"/>
        <v/>
      </c>
      <c r="AS11" s="25" t="str">
        <f t="shared" ca="1" si="7"/>
        <v/>
      </c>
      <c r="AT11" s="25" t="str">
        <f t="shared" ca="1" si="7"/>
        <v/>
      </c>
      <c r="AU11" s="25" t="str">
        <f t="shared" ca="1" si="7"/>
        <v/>
      </c>
      <c r="AV11" s="25" t="str">
        <f t="shared" ca="1" si="7"/>
        <v/>
      </c>
      <c r="AW11" s="25" t="str">
        <f t="shared" ca="1" si="7"/>
        <v/>
      </c>
      <c r="AX11" s="25" t="str">
        <f t="shared" ca="1" si="7"/>
        <v/>
      </c>
      <c r="AY11" s="25" t="str">
        <f t="shared" ca="1" si="7"/>
        <v/>
      </c>
      <c r="AZ11" s="25" t="str">
        <f t="shared" ca="1" si="7"/>
        <v/>
      </c>
      <c r="BA11" s="25" t="str">
        <f t="shared" ca="1" si="7"/>
        <v/>
      </c>
      <c r="BB11" s="25" t="str">
        <f t="shared" ca="1" si="7"/>
        <v/>
      </c>
      <c r="BC11" s="25" t="str">
        <f t="shared" ca="1" si="7"/>
        <v/>
      </c>
      <c r="BD11" s="25" t="str">
        <f t="shared" ca="1" si="7"/>
        <v/>
      </c>
      <c r="BE11" s="25" t="str">
        <f t="shared" ref="BE11:BL26" ca="1" si="8">IF(AND($C11="Ziel",BE$7&gt;=$F11,BE$7&lt;=$F11+$G11-1),2,IF(AND($C11="Meilenstein",BE$7&gt;=$F11,BE$7&lt;=$F11+$G11-1),1,""))</f>
        <v/>
      </c>
      <c r="BF11" s="25" t="str">
        <f t="shared" ca="1" si="8"/>
        <v/>
      </c>
      <c r="BG11" s="25" t="str">
        <f t="shared" ca="1" si="8"/>
        <v/>
      </c>
      <c r="BH11" s="25" t="str">
        <f t="shared" ca="1" si="8"/>
        <v/>
      </c>
      <c r="BI11" s="25" t="str">
        <f t="shared" ca="1" si="8"/>
        <v/>
      </c>
      <c r="BJ11" s="25" t="str">
        <f t="shared" ca="1" si="8"/>
        <v/>
      </c>
      <c r="BK11" s="25" t="str">
        <f t="shared" ca="1" si="8"/>
        <v/>
      </c>
      <c r="BL11" s="25" t="str">
        <f t="shared" ca="1" si="8"/>
        <v/>
      </c>
      <c r="BP11" s="39"/>
    </row>
    <row r="12" spans="1:68" s="1" customFormat="1" ht="40.15" customHeight="1">
      <c r="A12" s="10"/>
      <c r="B12" s="61" t="s">
        <v>10</v>
      </c>
      <c r="C12" s="57" t="s">
        <v>20</v>
      </c>
      <c r="D12" s="57" t="s">
        <v>27</v>
      </c>
      <c r="E12" s="58">
        <v>0.25</v>
      </c>
      <c r="F12" s="59">
        <f ca="1">TODAY()</f>
        <v>46070</v>
      </c>
      <c r="G12" s="60">
        <v>3</v>
      </c>
      <c r="H12" s="57"/>
      <c r="I12" s="25">
        <f ca="1">IF(AND($C12="Ziel",I$7&gt;=$F12,I$7&lt;=$F12+$G12-1),2,IF(AND($C12="Meilenstein",I$7&gt;=$F12,I$7&lt;=$F12+$G12-1),1,""))</f>
        <v>2</v>
      </c>
      <c r="J12" s="25">
        <f t="shared" ca="1" si="5"/>
        <v>2</v>
      </c>
      <c r="K12" s="25" t="str">
        <f t="shared" ca="1" si="5"/>
        <v/>
      </c>
      <c r="L12" s="25" t="str">
        <f t="shared" ca="1" si="5"/>
        <v/>
      </c>
      <c r="M12" s="25" t="str">
        <f t="shared" ca="1" si="5"/>
        <v/>
      </c>
      <c r="N12" s="25" t="str">
        <f t="shared" ca="1" si="5"/>
        <v/>
      </c>
      <c r="O12" s="25" t="str">
        <f t="shared" ca="1" si="5"/>
        <v/>
      </c>
      <c r="P12" s="25" t="str">
        <f t="shared" ca="1" si="5"/>
        <v/>
      </c>
      <c r="Q12" s="25" t="str">
        <f t="shared" ca="1" si="5"/>
        <v/>
      </c>
      <c r="R12" s="25" t="str">
        <f t="shared" ca="1" si="5"/>
        <v/>
      </c>
      <c r="S12" s="25" t="str">
        <f t="shared" ca="1" si="5"/>
        <v/>
      </c>
      <c r="T12" s="25" t="str">
        <f t="shared" ca="1" si="5"/>
        <v/>
      </c>
      <c r="U12" s="25" t="str">
        <f t="shared" ca="1" si="5"/>
        <v/>
      </c>
      <c r="V12" s="25" t="str">
        <f t="shared" ca="1" si="5"/>
        <v/>
      </c>
      <c r="W12" s="25" t="str">
        <f t="shared" ca="1" si="5"/>
        <v/>
      </c>
      <c r="X12" s="25" t="str">
        <f t="shared" ca="1" si="5"/>
        <v/>
      </c>
      <c r="Y12" s="25" t="str">
        <f t="shared" ca="1" si="6"/>
        <v/>
      </c>
      <c r="Z12" s="25" t="str">
        <f t="shared" ca="1" si="6"/>
        <v/>
      </c>
      <c r="AA12" s="25" t="str">
        <f t="shared" ca="1" si="6"/>
        <v/>
      </c>
      <c r="AB12" s="25" t="str">
        <f t="shared" ca="1" si="6"/>
        <v/>
      </c>
      <c r="AC12" s="25" t="str">
        <f t="shared" ca="1" si="6"/>
        <v/>
      </c>
      <c r="AD12" s="25" t="str">
        <f t="shared" ca="1" si="6"/>
        <v/>
      </c>
      <c r="AE12" s="25" t="str">
        <f t="shared" ca="1" si="6"/>
        <v/>
      </c>
      <c r="AF12" s="25" t="str">
        <f t="shared" ca="1" si="6"/>
        <v/>
      </c>
      <c r="AG12" s="25" t="str">
        <f t="shared" ca="1" si="6"/>
        <v/>
      </c>
      <c r="AH12" s="25" t="str">
        <f t="shared" ca="1" si="6"/>
        <v/>
      </c>
      <c r="AI12" s="25" t="str">
        <f t="shared" ca="1" si="6"/>
        <v/>
      </c>
      <c r="AJ12" s="25" t="str">
        <f t="shared" ca="1" si="6"/>
        <v/>
      </c>
      <c r="AK12" s="25" t="str">
        <f t="shared" ca="1" si="6"/>
        <v/>
      </c>
      <c r="AL12" s="25" t="str">
        <f t="shared" ca="1" si="6"/>
        <v/>
      </c>
      <c r="AM12" s="25" t="str">
        <f t="shared" ca="1" si="6"/>
        <v/>
      </c>
      <c r="AN12" s="25" t="str">
        <f t="shared" ca="1" si="6"/>
        <v/>
      </c>
      <c r="AO12" s="25" t="str">
        <f t="shared" ca="1" si="7"/>
        <v/>
      </c>
      <c r="AP12" s="25" t="str">
        <f t="shared" ca="1" si="7"/>
        <v/>
      </c>
      <c r="AQ12" s="25" t="str">
        <f t="shared" ca="1" si="7"/>
        <v/>
      </c>
      <c r="AR12" s="25" t="str">
        <f t="shared" ca="1" si="7"/>
        <v/>
      </c>
      <c r="AS12" s="25" t="str">
        <f t="shared" ca="1" si="7"/>
        <v/>
      </c>
      <c r="AT12" s="25" t="str">
        <f t="shared" ca="1" si="7"/>
        <v/>
      </c>
      <c r="AU12" s="25" t="str">
        <f t="shared" ca="1" si="7"/>
        <v/>
      </c>
      <c r="AV12" s="25" t="str">
        <f t="shared" ca="1" si="7"/>
        <v/>
      </c>
      <c r="AW12" s="25" t="str">
        <f t="shared" ca="1" si="7"/>
        <v/>
      </c>
      <c r="AX12" s="25" t="str">
        <f t="shared" ca="1" si="7"/>
        <v/>
      </c>
      <c r="AY12" s="25" t="str">
        <f t="shared" ca="1" si="7"/>
        <v/>
      </c>
      <c r="AZ12" s="25" t="str">
        <f t="shared" ca="1" si="7"/>
        <v/>
      </c>
      <c r="BA12" s="25" t="str">
        <f t="shared" ca="1" si="7"/>
        <v/>
      </c>
      <c r="BB12" s="25" t="str">
        <f t="shared" ca="1" si="7"/>
        <v/>
      </c>
      <c r="BC12" s="25" t="str">
        <f t="shared" ca="1" si="7"/>
        <v/>
      </c>
      <c r="BD12" s="25" t="str">
        <f t="shared" ca="1" si="7"/>
        <v/>
      </c>
      <c r="BE12" s="25" t="str">
        <f t="shared" ca="1" si="8"/>
        <v/>
      </c>
      <c r="BF12" s="25" t="str">
        <f t="shared" ca="1" si="8"/>
        <v/>
      </c>
      <c r="BG12" s="25" t="str">
        <f t="shared" ca="1" si="8"/>
        <v/>
      </c>
      <c r="BH12" s="25" t="str">
        <f t="shared" ca="1" si="8"/>
        <v/>
      </c>
      <c r="BI12" s="25" t="str">
        <f t="shared" ca="1" si="8"/>
        <v/>
      </c>
      <c r="BJ12" s="25" t="str">
        <f t="shared" ca="1" si="8"/>
        <v/>
      </c>
      <c r="BK12" s="25" t="str">
        <f t="shared" ca="1" si="8"/>
        <v/>
      </c>
      <c r="BL12" s="25" t="str">
        <f t="shared" ca="1" si="8"/>
        <v/>
      </c>
    </row>
    <row r="13" spans="1:68" s="1" customFormat="1" ht="40.15" customHeight="1">
      <c r="A13" s="10"/>
      <c r="B13" s="61" t="s">
        <v>11</v>
      </c>
      <c r="C13" s="57" t="s">
        <v>21</v>
      </c>
      <c r="D13" s="57"/>
      <c r="E13" s="58"/>
      <c r="F13" s="59">
        <f ca="1">TODAY()+5</f>
        <v>46075</v>
      </c>
      <c r="G13" s="60">
        <v>1</v>
      </c>
      <c r="H13" s="57"/>
      <c r="I13" s="25" t="str">
        <f t="shared" ref="I13:X28" ca="1" si="9">IF(AND($C13="Ziel",I$7&gt;=$F13,I$7&lt;=$F13+$G13-1),2,IF(AND($C13="Meilenstein",I$7&gt;=$F13,I$7&lt;=$F13+$G13-1),1,""))</f>
        <v/>
      </c>
      <c r="J13" s="25" t="str">
        <f t="shared" ca="1" si="5"/>
        <v/>
      </c>
      <c r="K13" s="25" t="str">
        <f t="shared" ca="1" si="5"/>
        <v/>
      </c>
      <c r="L13" s="25" t="str">
        <f t="shared" ca="1" si="5"/>
        <v/>
      </c>
      <c r="M13" s="25">
        <f t="shared" ca="1" si="5"/>
        <v>1</v>
      </c>
      <c r="N13" s="25" t="str">
        <f t="shared" ca="1" si="5"/>
        <v/>
      </c>
      <c r="O13" s="25" t="str">
        <f t="shared" ca="1" si="5"/>
        <v/>
      </c>
      <c r="P13" s="25" t="str">
        <f t="shared" ca="1" si="5"/>
        <v/>
      </c>
      <c r="Q13" s="25" t="str">
        <f t="shared" ca="1" si="5"/>
        <v/>
      </c>
      <c r="R13" s="25" t="str">
        <f t="shared" ca="1" si="5"/>
        <v/>
      </c>
      <c r="S13" s="25" t="str">
        <f t="shared" ca="1" si="5"/>
        <v/>
      </c>
      <c r="T13" s="25" t="str">
        <f t="shared" ca="1" si="5"/>
        <v/>
      </c>
      <c r="U13" s="25" t="str">
        <f t="shared" ca="1" si="5"/>
        <v/>
      </c>
      <c r="V13" s="25" t="str">
        <f t="shared" ca="1" si="5"/>
        <v/>
      </c>
      <c r="W13" s="25" t="str">
        <f t="shared" ca="1" si="5"/>
        <v/>
      </c>
      <c r="X13" s="25" t="str">
        <f t="shared" ca="1" si="5"/>
        <v/>
      </c>
      <c r="Y13" s="25" t="str">
        <f t="shared" ca="1" si="6"/>
        <v/>
      </c>
      <c r="Z13" s="25" t="str">
        <f t="shared" ca="1" si="6"/>
        <v/>
      </c>
      <c r="AA13" s="25" t="str">
        <f t="shared" ca="1" si="6"/>
        <v/>
      </c>
      <c r="AB13" s="25" t="str">
        <f t="shared" ca="1" si="6"/>
        <v/>
      </c>
      <c r="AC13" s="25" t="str">
        <f t="shared" ca="1" si="6"/>
        <v/>
      </c>
      <c r="AD13" s="25" t="str">
        <f t="shared" ca="1" si="6"/>
        <v/>
      </c>
      <c r="AE13" s="25" t="str">
        <f t="shared" ca="1" si="6"/>
        <v/>
      </c>
      <c r="AF13" s="25" t="str">
        <f t="shared" ca="1" si="6"/>
        <v/>
      </c>
      <c r="AG13" s="25" t="str">
        <f t="shared" ca="1" si="6"/>
        <v/>
      </c>
      <c r="AH13" s="25" t="str">
        <f t="shared" ca="1" si="6"/>
        <v/>
      </c>
      <c r="AI13" s="25" t="str">
        <f t="shared" ca="1" si="6"/>
        <v/>
      </c>
      <c r="AJ13" s="25" t="str">
        <f t="shared" ca="1" si="6"/>
        <v/>
      </c>
      <c r="AK13" s="25" t="str">
        <f t="shared" ca="1" si="6"/>
        <v/>
      </c>
      <c r="AL13" s="25" t="str">
        <f t="shared" ca="1" si="6"/>
        <v/>
      </c>
      <c r="AM13" s="25" t="str">
        <f t="shared" ca="1" si="6"/>
        <v/>
      </c>
      <c r="AN13" s="25" t="str">
        <f t="shared" ca="1" si="6"/>
        <v/>
      </c>
      <c r="AO13" s="25" t="str">
        <f t="shared" ca="1" si="7"/>
        <v/>
      </c>
      <c r="AP13" s="25" t="str">
        <f t="shared" ca="1" si="7"/>
        <v/>
      </c>
      <c r="AQ13" s="25" t="str">
        <f t="shared" ca="1" si="7"/>
        <v/>
      </c>
      <c r="AR13" s="25" t="str">
        <f t="shared" ca="1" si="7"/>
        <v/>
      </c>
      <c r="AS13" s="25" t="str">
        <f t="shared" ca="1" si="7"/>
        <v/>
      </c>
      <c r="AT13" s="25" t="str">
        <f t="shared" ca="1" si="7"/>
        <v/>
      </c>
      <c r="AU13" s="25" t="str">
        <f t="shared" ca="1" si="7"/>
        <v/>
      </c>
      <c r="AV13" s="25" t="str">
        <f t="shared" ca="1" si="7"/>
        <v/>
      </c>
      <c r="AW13" s="25" t="str">
        <f t="shared" ca="1" si="7"/>
        <v/>
      </c>
      <c r="AX13" s="25" t="str">
        <f t="shared" ca="1" si="7"/>
        <v/>
      </c>
      <c r="AY13" s="25" t="str">
        <f t="shared" ca="1" si="7"/>
        <v/>
      </c>
      <c r="AZ13" s="25" t="str">
        <f t="shared" ca="1" si="7"/>
        <v/>
      </c>
      <c r="BA13" s="25" t="str">
        <f t="shared" ca="1" si="7"/>
        <v/>
      </c>
      <c r="BB13" s="25" t="str">
        <f t="shared" ca="1" si="7"/>
        <v/>
      </c>
      <c r="BC13" s="25" t="str">
        <f t="shared" ca="1" si="7"/>
        <v/>
      </c>
      <c r="BD13" s="25" t="str">
        <f t="shared" ca="1" si="7"/>
        <v/>
      </c>
      <c r="BE13" s="25" t="str">
        <f t="shared" ca="1" si="8"/>
        <v/>
      </c>
      <c r="BF13" s="25" t="str">
        <f t="shared" ca="1" si="8"/>
        <v/>
      </c>
      <c r="BG13" s="25" t="str">
        <f t="shared" ca="1" si="8"/>
        <v/>
      </c>
      <c r="BH13" s="25" t="str">
        <f t="shared" ca="1" si="8"/>
        <v/>
      </c>
      <c r="BI13" s="25" t="str">
        <f t="shared" ca="1" si="8"/>
        <v/>
      </c>
      <c r="BJ13" s="25" t="str">
        <f t="shared" ca="1" si="8"/>
        <v/>
      </c>
      <c r="BK13" s="25" t="str">
        <f t="shared" ca="1" si="8"/>
        <v/>
      </c>
      <c r="BL13" s="25" t="str">
        <f t="shared" ca="1" si="8"/>
        <v/>
      </c>
    </row>
    <row r="14" spans="1:68" s="1" customFormat="1" ht="40.15" customHeight="1">
      <c r="A14" s="9"/>
      <c r="B14" s="61" t="s">
        <v>12</v>
      </c>
      <c r="C14" s="57" t="s">
        <v>22</v>
      </c>
      <c r="D14" s="57"/>
      <c r="E14" s="58">
        <v>0.5</v>
      </c>
      <c r="F14" s="59">
        <f ca="1">F12-3</f>
        <v>46067</v>
      </c>
      <c r="G14" s="60">
        <v>10</v>
      </c>
      <c r="H14" s="57"/>
      <c r="I14" s="25" t="str">
        <f t="shared" ca="1" si="9"/>
        <v/>
      </c>
      <c r="J14" s="25" t="str">
        <f t="shared" ca="1" si="5"/>
        <v/>
      </c>
      <c r="K14" s="25" t="str">
        <f t="shared" ca="1" si="5"/>
        <v/>
      </c>
      <c r="L14" s="25" t="str">
        <f t="shared" ca="1" si="5"/>
        <v/>
      </c>
      <c r="M14" s="25" t="str">
        <f t="shared" ca="1" si="5"/>
        <v/>
      </c>
      <c r="N14" s="25" t="str">
        <f t="shared" ca="1" si="5"/>
        <v/>
      </c>
      <c r="O14" s="25" t="str">
        <f t="shared" ca="1" si="5"/>
        <v/>
      </c>
      <c r="P14" s="25" t="str">
        <f t="shared" ca="1" si="5"/>
        <v/>
      </c>
      <c r="Q14" s="25" t="str">
        <f t="shared" ca="1" si="5"/>
        <v/>
      </c>
      <c r="R14" s="25" t="str">
        <f t="shared" ca="1" si="5"/>
        <v/>
      </c>
      <c r="S14" s="25" t="str">
        <f t="shared" ca="1" si="5"/>
        <v/>
      </c>
      <c r="T14" s="25" t="str">
        <f t="shared" ca="1" si="5"/>
        <v/>
      </c>
      <c r="U14" s="25" t="str">
        <f t="shared" ca="1" si="5"/>
        <v/>
      </c>
      <c r="V14" s="25" t="str">
        <f t="shared" ca="1" si="5"/>
        <v/>
      </c>
      <c r="W14" s="25" t="str">
        <f t="shared" ca="1" si="5"/>
        <v/>
      </c>
      <c r="X14" s="25" t="str">
        <f t="shared" ca="1" si="5"/>
        <v/>
      </c>
      <c r="Y14" s="25" t="str">
        <f t="shared" ca="1" si="6"/>
        <v/>
      </c>
      <c r="Z14" s="25" t="str">
        <f t="shared" ca="1" si="6"/>
        <v/>
      </c>
      <c r="AA14" s="25" t="str">
        <f t="shared" ca="1" si="6"/>
        <v/>
      </c>
      <c r="AB14" s="25" t="str">
        <f t="shared" ca="1" si="6"/>
        <v/>
      </c>
      <c r="AC14" s="25" t="str">
        <f t="shared" ca="1" si="6"/>
        <v/>
      </c>
      <c r="AD14" s="25" t="str">
        <f t="shared" ca="1" si="6"/>
        <v/>
      </c>
      <c r="AE14" s="25" t="str">
        <f t="shared" ca="1" si="6"/>
        <v/>
      </c>
      <c r="AF14" s="25" t="str">
        <f t="shared" ca="1" si="6"/>
        <v/>
      </c>
      <c r="AG14" s="25" t="str">
        <f t="shared" ca="1" si="6"/>
        <v/>
      </c>
      <c r="AH14" s="25" t="str">
        <f t="shared" ca="1" si="6"/>
        <v/>
      </c>
      <c r="AI14" s="25" t="str">
        <f t="shared" ca="1" si="6"/>
        <v/>
      </c>
      <c r="AJ14" s="25" t="str">
        <f t="shared" ca="1" si="6"/>
        <v/>
      </c>
      <c r="AK14" s="25" t="str">
        <f t="shared" ca="1" si="6"/>
        <v/>
      </c>
      <c r="AL14" s="25" t="str">
        <f t="shared" ca="1" si="6"/>
        <v/>
      </c>
      <c r="AM14" s="25" t="str">
        <f t="shared" ca="1" si="6"/>
        <v/>
      </c>
      <c r="AN14" s="25" t="str">
        <f t="shared" ca="1" si="6"/>
        <v/>
      </c>
      <c r="AO14" s="25" t="str">
        <f t="shared" ca="1" si="7"/>
        <v/>
      </c>
      <c r="AP14" s="25" t="str">
        <f t="shared" ca="1" si="7"/>
        <v/>
      </c>
      <c r="AQ14" s="25" t="str">
        <f t="shared" ca="1" si="7"/>
        <v/>
      </c>
      <c r="AR14" s="25" t="str">
        <f t="shared" ca="1" si="7"/>
        <v/>
      </c>
      <c r="AS14" s="25" t="str">
        <f t="shared" ca="1" si="7"/>
        <v/>
      </c>
      <c r="AT14" s="25" t="str">
        <f t="shared" ca="1" si="7"/>
        <v/>
      </c>
      <c r="AU14" s="25" t="str">
        <f t="shared" ca="1" si="7"/>
        <v/>
      </c>
      <c r="AV14" s="25" t="str">
        <f t="shared" ca="1" si="7"/>
        <v/>
      </c>
      <c r="AW14" s="25" t="str">
        <f t="shared" ca="1" si="7"/>
        <v/>
      </c>
      <c r="AX14" s="25" t="str">
        <f t="shared" ca="1" si="7"/>
        <v/>
      </c>
      <c r="AY14" s="25" t="str">
        <f t="shared" ca="1" si="7"/>
        <v/>
      </c>
      <c r="AZ14" s="25" t="str">
        <f t="shared" ca="1" si="7"/>
        <v/>
      </c>
      <c r="BA14" s="25" t="str">
        <f t="shared" ca="1" si="7"/>
        <v/>
      </c>
      <c r="BB14" s="25" t="str">
        <f t="shared" ca="1" si="7"/>
        <v/>
      </c>
      <c r="BC14" s="25" t="str">
        <f t="shared" ca="1" si="7"/>
        <v/>
      </c>
      <c r="BD14" s="25" t="str">
        <f t="shared" ca="1" si="7"/>
        <v/>
      </c>
      <c r="BE14" s="25" t="str">
        <f t="shared" ca="1" si="8"/>
        <v/>
      </c>
      <c r="BF14" s="25" t="str">
        <f t="shared" ca="1" si="8"/>
        <v/>
      </c>
      <c r="BG14" s="25" t="str">
        <f t="shared" ca="1" si="8"/>
        <v/>
      </c>
      <c r="BH14" s="25" t="str">
        <f t="shared" ca="1" si="8"/>
        <v/>
      </c>
      <c r="BI14" s="25" t="str">
        <f t="shared" ca="1" si="8"/>
        <v/>
      </c>
      <c r="BJ14" s="25" t="str">
        <f t="shared" ca="1" si="8"/>
        <v/>
      </c>
      <c r="BK14" s="25" t="str">
        <f t="shared" ca="1" si="8"/>
        <v/>
      </c>
      <c r="BL14" s="25" t="str">
        <f t="shared" ca="1" si="8"/>
        <v/>
      </c>
    </row>
    <row r="15" spans="1:68" s="1" customFormat="1" ht="40.15" customHeight="1">
      <c r="A15" s="9"/>
      <c r="B15" s="61" t="s">
        <v>13</v>
      </c>
      <c r="C15" s="57" t="s">
        <v>21</v>
      </c>
      <c r="D15" s="57"/>
      <c r="E15" s="58"/>
      <c r="F15" s="59">
        <f ca="1">F12+20</f>
        <v>46090</v>
      </c>
      <c r="G15" s="60">
        <v>1</v>
      </c>
      <c r="H15" s="57"/>
      <c r="I15" s="25" t="str">
        <f t="shared" ca="1" si="9"/>
        <v/>
      </c>
      <c r="J15" s="25" t="str">
        <f t="shared" ca="1" si="5"/>
        <v/>
      </c>
      <c r="K15" s="25" t="str">
        <f t="shared" ca="1" si="5"/>
        <v/>
      </c>
      <c r="L15" s="25" t="str">
        <f t="shared" ca="1" si="5"/>
        <v/>
      </c>
      <c r="M15" s="25" t="str">
        <f t="shared" ca="1" si="5"/>
        <v/>
      </c>
      <c r="N15" s="25" t="str">
        <f t="shared" ca="1" si="5"/>
        <v/>
      </c>
      <c r="O15" s="25" t="str">
        <f t="shared" ca="1" si="5"/>
        <v/>
      </c>
      <c r="P15" s="25" t="str">
        <f t="shared" ca="1" si="5"/>
        <v/>
      </c>
      <c r="Q15" s="25" t="str">
        <f t="shared" ca="1" si="5"/>
        <v/>
      </c>
      <c r="R15" s="25" t="str">
        <f t="shared" ca="1" si="5"/>
        <v/>
      </c>
      <c r="S15" s="25" t="str">
        <f t="shared" ca="1" si="5"/>
        <v/>
      </c>
      <c r="T15" s="25" t="str">
        <f t="shared" ca="1" si="5"/>
        <v/>
      </c>
      <c r="U15" s="25" t="str">
        <f t="shared" ca="1" si="5"/>
        <v/>
      </c>
      <c r="V15" s="25" t="str">
        <f t="shared" ca="1" si="5"/>
        <v/>
      </c>
      <c r="W15" s="25" t="str">
        <f t="shared" ca="1" si="5"/>
        <v/>
      </c>
      <c r="X15" s="25" t="str">
        <f t="shared" ca="1" si="5"/>
        <v/>
      </c>
      <c r="Y15" s="25" t="str">
        <f t="shared" ca="1" si="6"/>
        <v/>
      </c>
      <c r="Z15" s="25" t="str">
        <f t="shared" ca="1" si="6"/>
        <v/>
      </c>
      <c r="AA15" s="25" t="str">
        <f t="shared" ca="1" si="6"/>
        <v/>
      </c>
      <c r="AB15" s="25">
        <f t="shared" ca="1" si="6"/>
        <v>1</v>
      </c>
      <c r="AC15" s="25" t="str">
        <f t="shared" ca="1" si="6"/>
        <v/>
      </c>
      <c r="AD15" s="25" t="str">
        <f t="shared" ca="1" si="6"/>
        <v/>
      </c>
      <c r="AE15" s="25" t="str">
        <f t="shared" ca="1" si="6"/>
        <v/>
      </c>
      <c r="AF15" s="25" t="str">
        <f t="shared" ca="1" si="6"/>
        <v/>
      </c>
      <c r="AG15" s="25" t="str">
        <f t="shared" ca="1" si="6"/>
        <v/>
      </c>
      <c r="AH15" s="25" t="str">
        <f t="shared" ca="1" si="6"/>
        <v/>
      </c>
      <c r="AI15" s="25" t="str">
        <f t="shared" ca="1" si="6"/>
        <v/>
      </c>
      <c r="AJ15" s="25" t="str">
        <f t="shared" ca="1" si="6"/>
        <v/>
      </c>
      <c r="AK15" s="25" t="str">
        <f t="shared" ca="1" si="6"/>
        <v/>
      </c>
      <c r="AL15" s="25" t="str">
        <f t="shared" ca="1" si="6"/>
        <v/>
      </c>
      <c r="AM15" s="25" t="str">
        <f t="shared" ca="1" si="6"/>
        <v/>
      </c>
      <c r="AN15" s="25" t="str">
        <f t="shared" ca="1" si="6"/>
        <v/>
      </c>
      <c r="AO15" s="25" t="str">
        <f t="shared" ca="1" si="7"/>
        <v/>
      </c>
      <c r="AP15" s="25" t="str">
        <f t="shared" ca="1" si="7"/>
        <v/>
      </c>
      <c r="AQ15" s="25" t="str">
        <f t="shared" ca="1" si="7"/>
        <v/>
      </c>
      <c r="AR15" s="25" t="str">
        <f t="shared" ca="1" si="7"/>
        <v/>
      </c>
      <c r="AS15" s="25" t="str">
        <f t="shared" ca="1" si="7"/>
        <v/>
      </c>
      <c r="AT15" s="25" t="str">
        <f t="shared" ca="1" si="7"/>
        <v/>
      </c>
      <c r="AU15" s="25" t="str">
        <f t="shared" ca="1" si="7"/>
        <v/>
      </c>
      <c r="AV15" s="25" t="str">
        <f t="shared" ca="1" si="7"/>
        <v/>
      </c>
      <c r="AW15" s="25" t="str">
        <f t="shared" ca="1" si="7"/>
        <v/>
      </c>
      <c r="AX15" s="25" t="str">
        <f t="shared" ca="1" si="7"/>
        <v/>
      </c>
      <c r="AY15" s="25" t="str">
        <f t="shared" ca="1" si="7"/>
        <v/>
      </c>
      <c r="AZ15" s="25" t="str">
        <f t="shared" ca="1" si="7"/>
        <v/>
      </c>
      <c r="BA15" s="25" t="str">
        <f t="shared" ca="1" si="7"/>
        <v/>
      </c>
      <c r="BB15" s="25" t="str">
        <f t="shared" ca="1" si="7"/>
        <v/>
      </c>
      <c r="BC15" s="25" t="str">
        <f t="shared" ca="1" si="7"/>
        <v/>
      </c>
      <c r="BD15" s="25" t="str">
        <f t="shared" ca="1" si="7"/>
        <v/>
      </c>
      <c r="BE15" s="25" t="str">
        <f t="shared" ca="1" si="8"/>
        <v/>
      </c>
      <c r="BF15" s="25" t="str">
        <f t="shared" ca="1" si="8"/>
        <v/>
      </c>
      <c r="BG15" s="25" t="str">
        <f t="shared" ca="1" si="8"/>
        <v/>
      </c>
      <c r="BH15" s="25" t="str">
        <f t="shared" ca="1" si="8"/>
        <v/>
      </c>
      <c r="BI15" s="25" t="str">
        <f t="shared" ca="1" si="8"/>
        <v/>
      </c>
      <c r="BJ15" s="25" t="str">
        <f t="shared" ca="1" si="8"/>
        <v/>
      </c>
      <c r="BK15" s="25" t="str">
        <f t="shared" ca="1" si="8"/>
        <v/>
      </c>
      <c r="BL15" s="25" t="str">
        <f t="shared" ca="1" si="8"/>
        <v/>
      </c>
    </row>
    <row r="16" spans="1:68" s="1" customFormat="1" ht="40.15" customHeight="1">
      <c r="A16" s="9"/>
      <c r="B16" s="61" t="s">
        <v>14</v>
      </c>
      <c r="C16" s="57" t="s">
        <v>23</v>
      </c>
      <c r="D16" s="57"/>
      <c r="E16" s="58">
        <v>0.1</v>
      </c>
      <c r="F16" s="59">
        <f ca="1">F12+6</f>
        <v>46076</v>
      </c>
      <c r="G16" s="60">
        <v>6</v>
      </c>
      <c r="H16" s="57"/>
      <c r="I16" s="25" t="str">
        <f t="shared" ca="1" si="9"/>
        <v/>
      </c>
      <c r="J16" s="25" t="str">
        <f t="shared" ca="1" si="5"/>
        <v/>
      </c>
      <c r="K16" s="25" t="str">
        <f t="shared" ca="1" si="5"/>
        <v/>
      </c>
      <c r="L16" s="25" t="str">
        <f t="shared" ca="1" si="5"/>
        <v/>
      </c>
      <c r="M16" s="25" t="str">
        <f t="shared" ca="1" si="5"/>
        <v/>
      </c>
      <c r="N16" s="25" t="str">
        <f t="shared" ca="1" si="5"/>
        <v/>
      </c>
      <c r="O16" s="25" t="str">
        <f t="shared" ca="1" si="5"/>
        <v/>
      </c>
      <c r="P16" s="25" t="str">
        <f t="shared" ca="1" si="5"/>
        <v/>
      </c>
      <c r="Q16" s="25" t="str">
        <f t="shared" ca="1" si="5"/>
        <v/>
      </c>
      <c r="R16" s="25" t="str">
        <f t="shared" ca="1" si="5"/>
        <v/>
      </c>
      <c r="S16" s="25" t="str">
        <f t="shared" ca="1" si="5"/>
        <v/>
      </c>
      <c r="T16" s="25" t="str">
        <f t="shared" ca="1" si="5"/>
        <v/>
      </c>
      <c r="U16" s="25" t="str">
        <f t="shared" ca="1" si="5"/>
        <v/>
      </c>
      <c r="V16" s="25" t="str">
        <f t="shared" ca="1" si="5"/>
        <v/>
      </c>
      <c r="W16" s="25" t="str">
        <f t="shared" ca="1" si="5"/>
        <v/>
      </c>
      <c r="X16" s="25" t="str">
        <f t="shared" ca="1" si="5"/>
        <v/>
      </c>
      <c r="Y16" s="25" t="str">
        <f t="shared" ca="1" si="6"/>
        <v/>
      </c>
      <c r="Z16" s="25" t="str">
        <f t="shared" ca="1" si="6"/>
        <v/>
      </c>
      <c r="AA16" s="25" t="str">
        <f t="shared" ca="1" si="6"/>
        <v/>
      </c>
      <c r="AB16" s="25" t="str">
        <f t="shared" ca="1" si="6"/>
        <v/>
      </c>
      <c r="AC16" s="25" t="str">
        <f t="shared" ca="1" si="6"/>
        <v/>
      </c>
      <c r="AD16" s="25" t="str">
        <f t="shared" ca="1" si="6"/>
        <v/>
      </c>
      <c r="AE16" s="25" t="str">
        <f t="shared" ca="1" si="6"/>
        <v/>
      </c>
      <c r="AF16" s="25" t="str">
        <f t="shared" ca="1" si="6"/>
        <v/>
      </c>
      <c r="AG16" s="25" t="str">
        <f t="shared" ca="1" si="6"/>
        <v/>
      </c>
      <c r="AH16" s="25" t="str">
        <f t="shared" ca="1" si="6"/>
        <v/>
      </c>
      <c r="AI16" s="25" t="str">
        <f t="shared" ca="1" si="6"/>
        <v/>
      </c>
      <c r="AJ16" s="25" t="str">
        <f t="shared" ca="1" si="6"/>
        <v/>
      </c>
      <c r="AK16" s="25" t="str">
        <f t="shared" ca="1" si="6"/>
        <v/>
      </c>
      <c r="AL16" s="25" t="str">
        <f t="shared" ca="1" si="6"/>
        <v/>
      </c>
      <c r="AM16" s="25" t="str">
        <f t="shared" ca="1" si="6"/>
        <v/>
      </c>
      <c r="AN16" s="25" t="str">
        <f t="shared" ca="1" si="6"/>
        <v/>
      </c>
      <c r="AO16" s="25" t="str">
        <f t="shared" ca="1" si="7"/>
        <v/>
      </c>
      <c r="AP16" s="25" t="str">
        <f t="shared" ca="1" si="7"/>
        <v/>
      </c>
      <c r="AQ16" s="25" t="str">
        <f t="shared" ca="1" si="7"/>
        <v/>
      </c>
      <c r="AR16" s="25" t="str">
        <f t="shared" ca="1" si="7"/>
        <v/>
      </c>
      <c r="AS16" s="25" t="str">
        <f t="shared" ca="1" si="7"/>
        <v/>
      </c>
      <c r="AT16" s="25" t="str">
        <f t="shared" ca="1" si="7"/>
        <v/>
      </c>
      <c r="AU16" s="25" t="str">
        <f t="shared" ca="1" si="7"/>
        <v/>
      </c>
      <c r="AV16" s="25" t="str">
        <f t="shared" ca="1" si="7"/>
        <v/>
      </c>
      <c r="AW16" s="25" t="str">
        <f t="shared" ca="1" si="7"/>
        <v/>
      </c>
      <c r="AX16" s="25" t="str">
        <f t="shared" ca="1" si="7"/>
        <v/>
      </c>
      <c r="AY16" s="25" t="str">
        <f t="shared" ca="1" si="7"/>
        <v/>
      </c>
      <c r="AZ16" s="25" t="str">
        <f t="shared" ca="1" si="7"/>
        <v/>
      </c>
      <c r="BA16" s="25" t="str">
        <f t="shared" ca="1" si="7"/>
        <v/>
      </c>
      <c r="BB16" s="25" t="str">
        <f t="shared" ca="1" si="7"/>
        <v/>
      </c>
      <c r="BC16" s="25" t="str">
        <f t="shared" ca="1" si="7"/>
        <v/>
      </c>
      <c r="BD16" s="25" t="str">
        <f t="shared" ca="1" si="7"/>
        <v/>
      </c>
      <c r="BE16" s="25" t="str">
        <f t="shared" ca="1" si="8"/>
        <v/>
      </c>
      <c r="BF16" s="25" t="str">
        <f t="shared" ca="1" si="8"/>
        <v/>
      </c>
      <c r="BG16" s="25" t="str">
        <f t="shared" ca="1" si="8"/>
        <v/>
      </c>
      <c r="BH16" s="25" t="str">
        <f t="shared" ca="1" si="8"/>
        <v/>
      </c>
      <c r="BI16" s="25" t="str">
        <f t="shared" ca="1" si="8"/>
        <v/>
      </c>
      <c r="BJ16" s="25" t="str">
        <f t="shared" ca="1" si="8"/>
        <v/>
      </c>
      <c r="BK16" s="25" t="str">
        <f t="shared" ca="1" si="8"/>
        <v/>
      </c>
      <c r="BL16" s="25" t="str">
        <f t="shared" ca="1" si="8"/>
        <v/>
      </c>
    </row>
    <row r="17" spans="1:64" s="1" customFormat="1" ht="40.15" customHeight="1">
      <c r="A17" s="10"/>
      <c r="B17" s="113" t="s">
        <v>15</v>
      </c>
      <c r="C17" s="57"/>
      <c r="D17" s="57"/>
      <c r="E17" s="58"/>
      <c r="F17" s="59"/>
      <c r="G17" s="60"/>
      <c r="H17" s="57"/>
      <c r="I17" s="25" t="str">
        <f t="shared" ca="1" si="9"/>
        <v/>
      </c>
      <c r="J17" s="25" t="str">
        <f t="shared" ca="1" si="5"/>
        <v/>
      </c>
      <c r="K17" s="25" t="str">
        <f t="shared" ca="1" si="5"/>
        <v/>
      </c>
      <c r="L17" s="25" t="str">
        <f t="shared" ca="1" si="5"/>
        <v/>
      </c>
      <c r="M17" s="25" t="str">
        <f t="shared" ca="1" si="5"/>
        <v/>
      </c>
      <c r="N17" s="25" t="str">
        <f t="shared" ca="1" si="5"/>
        <v/>
      </c>
      <c r="O17" s="25" t="str">
        <f t="shared" ca="1" si="5"/>
        <v/>
      </c>
      <c r="P17" s="25" t="str">
        <f t="shared" ca="1" si="5"/>
        <v/>
      </c>
      <c r="Q17" s="25" t="str">
        <f t="shared" ca="1" si="5"/>
        <v/>
      </c>
      <c r="R17" s="25" t="str">
        <f t="shared" ca="1" si="5"/>
        <v/>
      </c>
      <c r="S17" s="25" t="str">
        <f t="shared" ca="1" si="5"/>
        <v/>
      </c>
      <c r="T17" s="25" t="str">
        <f t="shared" ca="1" si="5"/>
        <v/>
      </c>
      <c r="U17" s="25" t="str">
        <f t="shared" ca="1" si="5"/>
        <v/>
      </c>
      <c r="V17" s="25" t="str">
        <f t="shared" ca="1" si="5"/>
        <v/>
      </c>
      <c r="W17" s="25" t="str">
        <f t="shared" ca="1" si="5"/>
        <v/>
      </c>
      <c r="X17" s="25" t="str">
        <f t="shared" ca="1" si="5"/>
        <v/>
      </c>
      <c r="Y17" s="25" t="str">
        <f t="shared" ca="1" si="6"/>
        <v/>
      </c>
      <c r="Z17" s="25" t="str">
        <f t="shared" ca="1" si="6"/>
        <v/>
      </c>
      <c r="AA17" s="25" t="str">
        <f t="shared" ca="1" si="6"/>
        <v/>
      </c>
      <c r="AB17" s="25" t="str">
        <f t="shared" ca="1" si="6"/>
        <v/>
      </c>
      <c r="AC17" s="25" t="str">
        <f t="shared" ca="1" si="6"/>
        <v/>
      </c>
      <c r="AD17" s="25" t="str">
        <f t="shared" ca="1" si="6"/>
        <v/>
      </c>
      <c r="AE17" s="25" t="str">
        <f t="shared" ca="1" si="6"/>
        <v/>
      </c>
      <c r="AF17" s="25" t="str">
        <f t="shared" ca="1" si="6"/>
        <v/>
      </c>
      <c r="AG17" s="25" t="str">
        <f t="shared" ca="1" si="6"/>
        <v/>
      </c>
      <c r="AH17" s="25" t="str">
        <f t="shared" ca="1" si="6"/>
        <v/>
      </c>
      <c r="AI17" s="25" t="str">
        <f t="shared" ca="1" si="6"/>
        <v/>
      </c>
      <c r="AJ17" s="25" t="str">
        <f t="shared" ca="1" si="6"/>
        <v/>
      </c>
      <c r="AK17" s="25" t="str">
        <f t="shared" ca="1" si="6"/>
        <v/>
      </c>
      <c r="AL17" s="25" t="str">
        <f t="shared" ca="1" si="6"/>
        <v/>
      </c>
      <c r="AM17" s="25" t="str">
        <f t="shared" ca="1" si="6"/>
        <v/>
      </c>
      <c r="AN17" s="25" t="str">
        <f t="shared" ca="1" si="6"/>
        <v/>
      </c>
      <c r="AO17" s="25" t="str">
        <f t="shared" ca="1" si="7"/>
        <v/>
      </c>
      <c r="AP17" s="25" t="str">
        <f t="shared" ca="1" si="7"/>
        <v/>
      </c>
      <c r="AQ17" s="25" t="str">
        <f t="shared" ca="1" si="7"/>
        <v/>
      </c>
      <c r="AR17" s="25" t="str">
        <f t="shared" ca="1" si="7"/>
        <v/>
      </c>
      <c r="AS17" s="25" t="str">
        <f t="shared" ca="1" si="7"/>
        <v/>
      </c>
      <c r="AT17" s="25" t="str">
        <f t="shared" ca="1" si="7"/>
        <v/>
      </c>
      <c r="AU17" s="25" t="str">
        <f t="shared" ca="1" si="7"/>
        <v/>
      </c>
      <c r="AV17" s="25" t="str">
        <f t="shared" ca="1" si="7"/>
        <v/>
      </c>
      <c r="AW17" s="25" t="str">
        <f t="shared" ca="1" si="7"/>
        <v/>
      </c>
      <c r="AX17" s="25" t="str">
        <f t="shared" ca="1" si="7"/>
        <v/>
      </c>
      <c r="AY17" s="25" t="str">
        <f t="shared" ca="1" si="7"/>
        <v/>
      </c>
      <c r="AZ17" s="25" t="str">
        <f t="shared" ca="1" si="7"/>
        <v/>
      </c>
      <c r="BA17" s="25" t="str">
        <f t="shared" ca="1" si="7"/>
        <v/>
      </c>
      <c r="BB17" s="25" t="str">
        <f t="shared" ca="1" si="7"/>
        <v/>
      </c>
      <c r="BC17" s="25" t="str">
        <f t="shared" ca="1" si="7"/>
        <v/>
      </c>
      <c r="BD17" s="25" t="str">
        <f t="shared" ca="1" si="7"/>
        <v/>
      </c>
      <c r="BE17" s="25" t="str">
        <f t="shared" ca="1" si="8"/>
        <v/>
      </c>
      <c r="BF17" s="25" t="str">
        <f t="shared" ca="1" si="8"/>
        <v/>
      </c>
      <c r="BG17" s="25" t="str">
        <f t="shared" ca="1" si="8"/>
        <v/>
      </c>
      <c r="BH17" s="25" t="str">
        <f t="shared" ca="1" si="8"/>
        <v/>
      </c>
      <c r="BI17" s="25" t="str">
        <f t="shared" ca="1" si="8"/>
        <v/>
      </c>
      <c r="BJ17" s="25" t="str">
        <f t="shared" ca="1" si="8"/>
        <v/>
      </c>
      <c r="BK17" s="25" t="str">
        <f t="shared" ca="1" si="8"/>
        <v/>
      </c>
      <c r="BL17" s="25" t="str">
        <f t="shared" ca="1" si="8"/>
        <v/>
      </c>
    </row>
    <row r="18" spans="1:64" s="1" customFormat="1" ht="40.15" customHeight="1">
      <c r="A18" s="10"/>
      <c r="B18" s="61" t="s">
        <v>10</v>
      </c>
      <c r="C18" s="57" t="s">
        <v>24</v>
      </c>
      <c r="D18" s="57"/>
      <c r="E18" s="58">
        <v>0.6</v>
      </c>
      <c r="F18" s="59">
        <f ca="1">F12+6</f>
        <v>46076</v>
      </c>
      <c r="G18" s="60">
        <v>13</v>
      </c>
      <c r="H18" s="57"/>
      <c r="I18" s="25" t="str">
        <f t="shared" ca="1" si="9"/>
        <v/>
      </c>
      <c r="J18" s="25" t="str">
        <f t="shared" ca="1" si="5"/>
        <v/>
      </c>
      <c r="K18" s="25" t="str">
        <f t="shared" ca="1" si="5"/>
        <v/>
      </c>
      <c r="L18" s="25" t="str">
        <f t="shared" ca="1" si="5"/>
        <v/>
      </c>
      <c r="M18" s="25" t="str">
        <f t="shared" ca="1" si="5"/>
        <v/>
      </c>
      <c r="N18" s="25" t="str">
        <f t="shared" ca="1" si="5"/>
        <v/>
      </c>
      <c r="O18" s="25" t="str">
        <f t="shared" ca="1" si="5"/>
        <v/>
      </c>
      <c r="P18" s="25" t="str">
        <f t="shared" ca="1" si="5"/>
        <v/>
      </c>
      <c r="Q18" s="25" t="str">
        <f t="shared" ca="1" si="5"/>
        <v/>
      </c>
      <c r="R18" s="25" t="str">
        <f t="shared" ca="1" si="5"/>
        <v/>
      </c>
      <c r="S18" s="25" t="str">
        <f t="shared" ca="1" si="5"/>
        <v/>
      </c>
      <c r="T18" s="25" t="str">
        <f t="shared" ca="1" si="5"/>
        <v/>
      </c>
      <c r="U18" s="25" t="str">
        <f t="shared" ca="1" si="5"/>
        <v/>
      </c>
      <c r="V18" s="25" t="str">
        <f t="shared" ca="1" si="5"/>
        <v/>
      </c>
      <c r="W18" s="25" t="str">
        <f t="shared" ca="1" si="5"/>
        <v/>
      </c>
      <c r="X18" s="25" t="str">
        <f t="shared" ca="1" si="5"/>
        <v/>
      </c>
      <c r="Y18" s="25" t="str">
        <f t="shared" ca="1" si="6"/>
        <v/>
      </c>
      <c r="Z18" s="25" t="str">
        <f t="shared" ca="1" si="6"/>
        <v/>
      </c>
      <c r="AA18" s="25" t="str">
        <f t="shared" ca="1" si="6"/>
        <v/>
      </c>
      <c r="AB18" s="25" t="str">
        <f t="shared" ca="1" si="6"/>
        <v/>
      </c>
      <c r="AC18" s="25" t="str">
        <f t="shared" ca="1" si="6"/>
        <v/>
      </c>
      <c r="AD18" s="25" t="str">
        <f t="shared" ca="1" si="6"/>
        <v/>
      </c>
      <c r="AE18" s="25" t="str">
        <f t="shared" ca="1" si="6"/>
        <v/>
      </c>
      <c r="AF18" s="25" t="str">
        <f t="shared" ca="1" si="6"/>
        <v/>
      </c>
      <c r="AG18" s="25" t="str">
        <f t="shared" ca="1" si="6"/>
        <v/>
      </c>
      <c r="AH18" s="25" t="str">
        <f t="shared" ca="1" si="6"/>
        <v/>
      </c>
      <c r="AI18" s="25" t="str">
        <f t="shared" ca="1" si="6"/>
        <v/>
      </c>
      <c r="AJ18" s="25" t="str">
        <f t="shared" ca="1" si="6"/>
        <v/>
      </c>
      <c r="AK18" s="25" t="str">
        <f t="shared" ca="1" si="6"/>
        <v/>
      </c>
      <c r="AL18" s="25" t="str">
        <f t="shared" ca="1" si="6"/>
        <v/>
      </c>
      <c r="AM18" s="25" t="str">
        <f t="shared" ca="1" si="6"/>
        <v/>
      </c>
      <c r="AN18" s="25" t="str">
        <f t="shared" ca="1" si="6"/>
        <v/>
      </c>
      <c r="AO18" s="25" t="str">
        <f t="shared" ca="1" si="7"/>
        <v/>
      </c>
      <c r="AP18" s="25" t="str">
        <f t="shared" ca="1" si="7"/>
        <v/>
      </c>
      <c r="AQ18" s="25" t="str">
        <f t="shared" ca="1" si="7"/>
        <v/>
      </c>
      <c r="AR18" s="25" t="str">
        <f t="shared" ca="1" si="7"/>
        <v/>
      </c>
      <c r="AS18" s="25" t="str">
        <f t="shared" ca="1" si="7"/>
        <v/>
      </c>
      <c r="AT18" s="25" t="str">
        <f t="shared" ca="1" si="7"/>
        <v/>
      </c>
      <c r="AU18" s="25" t="str">
        <f t="shared" ca="1" si="7"/>
        <v/>
      </c>
      <c r="AV18" s="25" t="str">
        <f t="shared" ca="1" si="7"/>
        <v/>
      </c>
      <c r="AW18" s="25" t="str">
        <f t="shared" ca="1" si="7"/>
        <v/>
      </c>
      <c r="AX18" s="25" t="str">
        <f t="shared" ca="1" si="7"/>
        <v/>
      </c>
      <c r="AY18" s="25" t="str">
        <f t="shared" ca="1" si="7"/>
        <v/>
      </c>
      <c r="AZ18" s="25" t="str">
        <f t="shared" ca="1" si="7"/>
        <v/>
      </c>
      <c r="BA18" s="25" t="str">
        <f t="shared" ca="1" si="7"/>
        <v/>
      </c>
      <c r="BB18" s="25" t="str">
        <f t="shared" ca="1" si="7"/>
        <v/>
      </c>
      <c r="BC18" s="25" t="str">
        <f t="shared" ca="1" si="7"/>
        <v/>
      </c>
      <c r="BD18" s="25" t="str">
        <f t="shared" ca="1" si="7"/>
        <v/>
      </c>
      <c r="BE18" s="25" t="str">
        <f t="shared" ca="1" si="8"/>
        <v/>
      </c>
      <c r="BF18" s="25" t="str">
        <f t="shared" ca="1" si="8"/>
        <v/>
      </c>
      <c r="BG18" s="25" t="str">
        <f t="shared" ca="1" si="8"/>
        <v/>
      </c>
      <c r="BH18" s="25" t="str">
        <f t="shared" ca="1" si="8"/>
        <v/>
      </c>
      <c r="BI18" s="25" t="str">
        <f t="shared" ca="1" si="8"/>
        <v/>
      </c>
      <c r="BJ18" s="25" t="str">
        <f t="shared" ca="1" si="8"/>
        <v/>
      </c>
      <c r="BK18" s="25" t="str">
        <f t="shared" ca="1" si="8"/>
        <v/>
      </c>
      <c r="BL18" s="25" t="str">
        <f t="shared" ca="1" si="8"/>
        <v/>
      </c>
    </row>
    <row r="19" spans="1:64" s="1" customFormat="1" ht="40.15" customHeight="1">
      <c r="A19" s="9"/>
      <c r="B19" s="61" t="s">
        <v>11</v>
      </c>
      <c r="C19" s="57" t="s">
        <v>25</v>
      </c>
      <c r="D19" s="57"/>
      <c r="E19" s="58">
        <v>0.5</v>
      </c>
      <c r="F19" s="59">
        <f ca="1">F18+2</f>
        <v>46078</v>
      </c>
      <c r="G19" s="60">
        <v>9</v>
      </c>
      <c r="H19" s="57"/>
      <c r="I19" s="25" t="str">
        <f t="shared" ca="1" si="9"/>
        <v/>
      </c>
      <c r="J19" s="25" t="str">
        <f t="shared" ca="1" si="5"/>
        <v/>
      </c>
      <c r="K19" s="25" t="str">
        <f t="shared" ca="1" si="5"/>
        <v/>
      </c>
      <c r="L19" s="25" t="str">
        <f t="shared" ca="1" si="5"/>
        <v/>
      </c>
      <c r="M19" s="25" t="str">
        <f t="shared" ca="1" si="5"/>
        <v/>
      </c>
      <c r="N19" s="25" t="str">
        <f t="shared" ca="1" si="5"/>
        <v/>
      </c>
      <c r="O19" s="25" t="str">
        <f t="shared" ca="1" si="5"/>
        <v/>
      </c>
      <c r="P19" s="25" t="str">
        <f t="shared" ca="1" si="5"/>
        <v/>
      </c>
      <c r="Q19" s="25" t="str">
        <f t="shared" ca="1" si="5"/>
        <v/>
      </c>
      <c r="R19" s="25" t="str">
        <f t="shared" ca="1" si="5"/>
        <v/>
      </c>
      <c r="S19" s="25" t="str">
        <f t="shared" ca="1" si="5"/>
        <v/>
      </c>
      <c r="T19" s="25" t="str">
        <f t="shared" ca="1" si="5"/>
        <v/>
      </c>
      <c r="U19" s="25" t="str">
        <f t="shared" ca="1" si="5"/>
        <v/>
      </c>
      <c r="V19" s="25" t="str">
        <f t="shared" ca="1" si="5"/>
        <v/>
      </c>
      <c r="W19" s="25" t="str">
        <f t="shared" ca="1" si="5"/>
        <v/>
      </c>
      <c r="X19" s="25" t="str">
        <f t="shared" ca="1" si="5"/>
        <v/>
      </c>
      <c r="Y19" s="25" t="str">
        <f t="shared" ca="1" si="6"/>
        <v/>
      </c>
      <c r="Z19" s="25" t="str">
        <f t="shared" ca="1" si="6"/>
        <v/>
      </c>
      <c r="AA19" s="25" t="str">
        <f t="shared" ca="1" si="6"/>
        <v/>
      </c>
      <c r="AB19" s="25" t="str">
        <f t="shared" ca="1" si="6"/>
        <v/>
      </c>
      <c r="AC19" s="25" t="str">
        <f t="shared" ca="1" si="6"/>
        <v/>
      </c>
      <c r="AD19" s="25" t="str">
        <f t="shared" ca="1" si="6"/>
        <v/>
      </c>
      <c r="AE19" s="25" t="str">
        <f t="shared" ca="1" si="6"/>
        <v/>
      </c>
      <c r="AF19" s="25" t="str">
        <f t="shared" ca="1" si="6"/>
        <v/>
      </c>
      <c r="AG19" s="25" t="str">
        <f t="shared" ca="1" si="6"/>
        <v/>
      </c>
      <c r="AH19" s="25" t="str">
        <f t="shared" ca="1" si="6"/>
        <v/>
      </c>
      <c r="AI19" s="25" t="str">
        <f t="shared" ca="1" si="6"/>
        <v/>
      </c>
      <c r="AJ19" s="25" t="str">
        <f t="shared" ca="1" si="6"/>
        <v/>
      </c>
      <c r="AK19" s="25" t="str">
        <f t="shared" ca="1" si="6"/>
        <v/>
      </c>
      <c r="AL19" s="25" t="str">
        <f t="shared" ca="1" si="6"/>
        <v/>
      </c>
      <c r="AM19" s="25" t="str">
        <f t="shared" ca="1" si="6"/>
        <v/>
      </c>
      <c r="AN19" s="25" t="str">
        <f t="shared" ca="1" si="6"/>
        <v/>
      </c>
      <c r="AO19" s="25" t="str">
        <f t="shared" ca="1" si="7"/>
        <v/>
      </c>
      <c r="AP19" s="25" t="str">
        <f t="shared" ca="1" si="7"/>
        <v/>
      </c>
      <c r="AQ19" s="25" t="str">
        <f t="shared" ca="1" si="7"/>
        <v/>
      </c>
      <c r="AR19" s="25" t="str">
        <f t="shared" ca="1" si="7"/>
        <v/>
      </c>
      <c r="AS19" s="25" t="str">
        <f t="shared" ca="1" si="7"/>
        <v/>
      </c>
      <c r="AT19" s="25" t="str">
        <f t="shared" ca="1" si="7"/>
        <v/>
      </c>
      <c r="AU19" s="25" t="str">
        <f t="shared" ca="1" si="7"/>
        <v/>
      </c>
      <c r="AV19" s="25" t="str">
        <f t="shared" ca="1" si="7"/>
        <v/>
      </c>
      <c r="AW19" s="25" t="str">
        <f t="shared" ca="1" si="7"/>
        <v/>
      </c>
      <c r="AX19" s="25" t="str">
        <f t="shared" ca="1" si="7"/>
        <v/>
      </c>
      <c r="AY19" s="25" t="str">
        <f t="shared" ca="1" si="7"/>
        <v/>
      </c>
      <c r="AZ19" s="25" t="str">
        <f t="shared" ca="1" si="7"/>
        <v/>
      </c>
      <c r="BA19" s="25" t="str">
        <f t="shared" ca="1" si="7"/>
        <v/>
      </c>
      <c r="BB19" s="25" t="str">
        <f t="shared" ca="1" si="7"/>
        <v/>
      </c>
      <c r="BC19" s="25" t="str">
        <f t="shared" ca="1" si="7"/>
        <v/>
      </c>
      <c r="BD19" s="25" t="str">
        <f t="shared" ca="1" si="7"/>
        <v/>
      </c>
      <c r="BE19" s="25" t="str">
        <f t="shared" ca="1" si="8"/>
        <v/>
      </c>
      <c r="BF19" s="25" t="str">
        <f t="shared" ca="1" si="8"/>
        <v/>
      </c>
      <c r="BG19" s="25" t="str">
        <f t="shared" ca="1" si="8"/>
        <v/>
      </c>
      <c r="BH19" s="25" t="str">
        <f t="shared" ca="1" si="8"/>
        <v/>
      </c>
      <c r="BI19" s="25" t="str">
        <f t="shared" ca="1" si="8"/>
        <v/>
      </c>
      <c r="BJ19" s="25" t="str">
        <f t="shared" ca="1" si="8"/>
        <v/>
      </c>
      <c r="BK19" s="25" t="str">
        <f t="shared" ca="1" si="8"/>
        <v/>
      </c>
      <c r="BL19" s="25" t="str">
        <f t="shared" ca="1" si="8"/>
        <v/>
      </c>
    </row>
    <row r="20" spans="1:64" s="1" customFormat="1" ht="40.15" customHeight="1">
      <c r="A20" s="9"/>
      <c r="B20" s="61" t="s">
        <v>12</v>
      </c>
      <c r="C20" s="57" t="s">
        <v>22</v>
      </c>
      <c r="D20" s="57"/>
      <c r="E20" s="58">
        <v>0.33</v>
      </c>
      <c r="F20" s="59">
        <f ca="1">F19+5</f>
        <v>46083</v>
      </c>
      <c r="G20" s="60">
        <v>11</v>
      </c>
      <c r="H20" s="57"/>
      <c r="I20" s="25" t="str">
        <f t="shared" ca="1" si="9"/>
        <v/>
      </c>
      <c r="J20" s="25" t="str">
        <f t="shared" ca="1" si="5"/>
        <v/>
      </c>
      <c r="K20" s="25" t="str">
        <f t="shared" ca="1" si="5"/>
        <v/>
      </c>
      <c r="L20" s="25" t="str">
        <f t="shared" ca="1" si="5"/>
        <v/>
      </c>
      <c r="M20" s="25" t="str">
        <f t="shared" ca="1" si="5"/>
        <v/>
      </c>
      <c r="N20" s="25" t="str">
        <f t="shared" ca="1" si="5"/>
        <v/>
      </c>
      <c r="O20" s="25" t="str">
        <f t="shared" ca="1" si="5"/>
        <v/>
      </c>
      <c r="P20" s="25" t="str">
        <f t="shared" ca="1" si="5"/>
        <v/>
      </c>
      <c r="Q20" s="25" t="str">
        <f t="shared" ca="1" si="5"/>
        <v/>
      </c>
      <c r="R20" s="25" t="str">
        <f t="shared" ca="1" si="5"/>
        <v/>
      </c>
      <c r="S20" s="25" t="str">
        <f t="shared" ca="1" si="5"/>
        <v/>
      </c>
      <c r="T20" s="25" t="str">
        <f t="shared" ca="1" si="5"/>
        <v/>
      </c>
      <c r="U20" s="25" t="str">
        <f t="shared" ca="1" si="5"/>
        <v/>
      </c>
      <c r="V20" s="25" t="str">
        <f t="shared" ca="1" si="5"/>
        <v/>
      </c>
      <c r="W20" s="25" t="str">
        <f t="shared" ca="1" si="5"/>
        <v/>
      </c>
      <c r="X20" s="25" t="str">
        <f t="shared" ca="1" si="5"/>
        <v/>
      </c>
      <c r="Y20" s="25" t="str">
        <f t="shared" ca="1" si="6"/>
        <v/>
      </c>
      <c r="Z20" s="25" t="str">
        <f t="shared" ca="1" si="6"/>
        <v/>
      </c>
      <c r="AA20" s="25" t="str">
        <f t="shared" ca="1" si="6"/>
        <v/>
      </c>
      <c r="AB20" s="25" t="str">
        <f t="shared" ca="1" si="6"/>
        <v/>
      </c>
      <c r="AC20" s="25" t="str">
        <f t="shared" ca="1" si="6"/>
        <v/>
      </c>
      <c r="AD20" s="25" t="str">
        <f t="shared" ca="1" si="6"/>
        <v/>
      </c>
      <c r="AE20" s="25" t="str">
        <f t="shared" ca="1" si="6"/>
        <v/>
      </c>
      <c r="AF20" s="25" t="str">
        <f t="shared" ca="1" si="6"/>
        <v/>
      </c>
      <c r="AG20" s="25" t="str">
        <f t="shared" ca="1" si="6"/>
        <v/>
      </c>
      <c r="AH20" s="25" t="str">
        <f t="shared" ca="1" si="6"/>
        <v/>
      </c>
      <c r="AI20" s="25" t="str">
        <f t="shared" ca="1" si="6"/>
        <v/>
      </c>
      <c r="AJ20" s="25" t="str">
        <f t="shared" ca="1" si="6"/>
        <v/>
      </c>
      <c r="AK20" s="25" t="str">
        <f t="shared" ca="1" si="6"/>
        <v/>
      </c>
      <c r="AL20" s="25" t="str">
        <f t="shared" ca="1" si="6"/>
        <v/>
      </c>
      <c r="AM20" s="25" t="str">
        <f t="shared" ca="1" si="6"/>
        <v/>
      </c>
      <c r="AN20" s="25" t="str">
        <f t="shared" ca="1" si="6"/>
        <v/>
      </c>
      <c r="AO20" s="25" t="str">
        <f t="shared" ca="1" si="7"/>
        <v/>
      </c>
      <c r="AP20" s="25" t="str">
        <f t="shared" ca="1" si="7"/>
        <v/>
      </c>
      <c r="AQ20" s="25" t="str">
        <f t="shared" ca="1" si="7"/>
        <v/>
      </c>
      <c r="AR20" s="25" t="str">
        <f t="shared" ca="1" si="7"/>
        <v/>
      </c>
      <c r="AS20" s="25" t="str">
        <f t="shared" ca="1" si="7"/>
        <v/>
      </c>
      <c r="AT20" s="25" t="str">
        <f t="shared" ca="1" si="7"/>
        <v/>
      </c>
      <c r="AU20" s="25" t="str">
        <f t="shared" ca="1" si="7"/>
        <v/>
      </c>
      <c r="AV20" s="25" t="str">
        <f t="shared" ca="1" si="7"/>
        <v/>
      </c>
      <c r="AW20" s="25" t="str">
        <f t="shared" ca="1" si="7"/>
        <v/>
      </c>
      <c r="AX20" s="25" t="str">
        <f t="shared" ca="1" si="7"/>
        <v/>
      </c>
      <c r="AY20" s="25" t="str">
        <f t="shared" ca="1" si="7"/>
        <v/>
      </c>
      <c r="AZ20" s="25" t="str">
        <f t="shared" ca="1" si="7"/>
        <v/>
      </c>
      <c r="BA20" s="25" t="str">
        <f t="shared" ca="1" si="7"/>
        <v/>
      </c>
      <c r="BB20" s="25" t="str">
        <f t="shared" ca="1" si="7"/>
        <v/>
      </c>
      <c r="BC20" s="25" t="str">
        <f t="shared" ca="1" si="7"/>
        <v/>
      </c>
      <c r="BD20" s="25" t="str">
        <f t="shared" ca="1" si="7"/>
        <v/>
      </c>
      <c r="BE20" s="25" t="str">
        <f t="shared" ca="1" si="8"/>
        <v/>
      </c>
      <c r="BF20" s="25" t="str">
        <f t="shared" ca="1" si="8"/>
        <v/>
      </c>
      <c r="BG20" s="25" t="str">
        <f t="shared" ca="1" si="8"/>
        <v/>
      </c>
      <c r="BH20" s="25" t="str">
        <f t="shared" ca="1" si="8"/>
        <v/>
      </c>
      <c r="BI20" s="25" t="str">
        <f t="shared" ca="1" si="8"/>
        <v/>
      </c>
      <c r="BJ20" s="25" t="str">
        <f t="shared" ca="1" si="8"/>
        <v/>
      </c>
      <c r="BK20" s="25" t="str">
        <f t="shared" ca="1" si="8"/>
        <v/>
      </c>
      <c r="BL20" s="25" t="str">
        <f t="shared" ca="1" si="8"/>
        <v/>
      </c>
    </row>
    <row r="21" spans="1:64" s="1" customFormat="1" ht="40.15" customHeight="1">
      <c r="A21" s="9"/>
      <c r="B21" s="61" t="s">
        <v>13</v>
      </c>
      <c r="C21" s="57" t="s">
        <v>21</v>
      </c>
      <c r="D21" s="57"/>
      <c r="E21" s="58"/>
      <c r="F21" s="59">
        <f ca="1">F20+2</f>
        <v>46085</v>
      </c>
      <c r="G21" s="60">
        <v>1</v>
      </c>
      <c r="H21" s="57"/>
      <c r="I21" s="25" t="str">
        <f t="shared" ca="1" si="9"/>
        <v/>
      </c>
      <c r="J21" s="25" t="str">
        <f t="shared" ca="1" si="5"/>
        <v/>
      </c>
      <c r="K21" s="25" t="str">
        <f t="shared" ca="1" si="5"/>
        <v/>
      </c>
      <c r="L21" s="25" t="str">
        <f t="shared" ca="1" si="5"/>
        <v/>
      </c>
      <c r="M21" s="25" t="str">
        <f t="shared" ca="1" si="5"/>
        <v/>
      </c>
      <c r="N21" s="25" t="str">
        <f t="shared" ca="1" si="5"/>
        <v/>
      </c>
      <c r="O21" s="25" t="str">
        <f t="shared" ca="1" si="5"/>
        <v/>
      </c>
      <c r="P21" s="25" t="str">
        <f t="shared" ca="1" si="5"/>
        <v/>
      </c>
      <c r="Q21" s="25" t="str">
        <f t="shared" ca="1" si="5"/>
        <v/>
      </c>
      <c r="R21" s="25" t="str">
        <f t="shared" ca="1" si="5"/>
        <v/>
      </c>
      <c r="S21" s="25" t="str">
        <f t="shared" ca="1" si="5"/>
        <v/>
      </c>
      <c r="T21" s="25" t="str">
        <f t="shared" ca="1" si="5"/>
        <v/>
      </c>
      <c r="U21" s="25" t="str">
        <f t="shared" ca="1" si="5"/>
        <v/>
      </c>
      <c r="V21" s="25" t="str">
        <f t="shared" ca="1" si="5"/>
        <v/>
      </c>
      <c r="W21" s="25">
        <f t="shared" ca="1" si="5"/>
        <v>1</v>
      </c>
      <c r="X21" s="25" t="str">
        <f t="shared" ca="1" si="5"/>
        <v/>
      </c>
      <c r="Y21" s="25" t="str">
        <f t="shared" ca="1" si="6"/>
        <v/>
      </c>
      <c r="Z21" s="25" t="str">
        <f t="shared" ca="1" si="6"/>
        <v/>
      </c>
      <c r="AA21" s="25" t="str">
        <f t="shared" ca="1" si="6"/>
        <v/>
      </c>
      <c r="AB21" s="25" t="str">
        <f t="shared" ca="1" si="6"/>
        <v/>
      </c>
      <c r="AC21" s="25" t="str">
        <f t="shared" ca="1" si="6"/>
        <v/>
      </c>
      <c r="AD21" s="25" t="str">
        <f t="shared" ca="1" si="6"/>
        <v/>
      </c>
      <c r="AE21" s="25" t="str">
        <f t="shared" ca="1" si="6"/>
        <v/>
      </c>
      <c r="AF21" s="25" t="str">
        <f t="shared" ca="1" si="6"/>
        <v/>
      </c>
      <c r="AG21" s="25" t="str">
        <f t="shared" ca="1" si="6"/>
        <v/>
      </c>
      <c r="AH21" s="25" t="str">
        <f t="shared" ca="1" si="6"/>
        <v/>
      </c>
      <c r="AI21" s="25" t="str">
        <f t="shared" ca="1" si="6"/>
        <v/>
      </c>
      <c r="AJ21" s="25" t="str">
        <f t="shared" ca="1" si="6"/>
        <v/>
      </c>
      <c r="AK21" s="25" t="str">
        <f t="shared" ca="1" si="6"/>
        <v/>
      </c>
      <c r="AL21" s="25" t="str">
        <f t="shared" ca="1" si="6"/>
        <v/>
      </c>
      <c r="AM21" s="25" t="str">
        <f t="shared" ca="1" si="6"/>
        <v/>
      </c>
      <c r="AN21" s="25" t="str">
        <f t="shared" ca="1" si="6"/>
        <v/>
      </c>
      <c r="AO21" s="25" t="str">
        <f t="shared" ca="1" si="7"/>
        <v/>
      </c>
      <c r="AP21" s="25" t="str">
        <f t="shared" ca="1" si="7"/>
        <v/>
      </c>
      <c r="AQ21" s="25" t="str">
        <f t="shared" ca="1" si="7"/>
        <v/>
      </c>
      <c r="AR21" s="25" t="str">
        <f t="shared" ca="1" si="7"/>
        <v/>
      </c>
      <c r="AS21" s="25" t="str">
        <f t="shared" ca="1" si="7"/>
        <v/>
      </c>
      <c r="AT21" s="25" t="str">
        <f t="shared" ca="1" si="7"/>
        <v/>
      </c>
      <c r="AU21" s="25" t="str">
        <f t="shared" ca="1" si="7"/>
        <v/>
      </c>
      <c r="AV21" s="25" t="str">
        <f t="shared" ca="1" si="7"/>
        <v/>
      </c>
      <c r="AW21" s="25" t="str">
        <f t="shared" ca="1" si="7"/>
        <v/>
      </c>
      <c r="AX21" s="25" t="str">
        <f t="shared" ca="1" si="7"/>
        <v/>
      </c>
      <c r="AY21" s="25" t="str">
        <f t="shared" ca="1" si="7"/>
        <v/>
      </c>
      <c r="AZ21" s="25" t="str">
        <f t="shared" ca="1" si="7"/>
        <v/>
      </c>
      <c r="BA21" s="25" t="str">
        <f t="shared" ca="1" si="7"/>
        <v/>
      </c>
      <c r="BB21" s="25" t="str">
        <f t="shared" ca="1" si="7"/>
        <v/>
      </c>
      <c r="BC21" s="25" t="str">
        <f t="shared" ca="1" si="7"/>
        <v/>
      </c>
      <c r="BD21" s="25" t="str">
        <f t="shared" ca="1" si="7"/>
        <v/>
      </c>
      <c r="BE21" s="25" t="str">
        <f t="shared" ca="1" si="8"/>
        <v/>
      </c>
      <c r="BF21" s="25" t="str">
        <f t="shared" ca="1" si="8"/>
        <v/>
      </c>
      <c r="BG21" s="25" t="str">
        <f t="shared" ca="1" si="8"/>
        <v/>
      </c>
      <c r="BH21" s="25" t="str">
        <f t="shared" ca="1" si="8"/>
        <v/>
      </c>
      <c r="BI21" s="25" t="str">
        <f t="shared" ca="1" si="8"/>
        <v/>
      </c>
      <c r="BJ21" s="25" t="str">
        <f t="shared" ca="1" si="8"/>
        <v/>
      </c>
      <c r="BK21" s="25" t="str">
        <f t="shared" ca="1" si="8"/>
        <v/>
      </c>
      <c r="BL21" s="25" t="str">
        <f t="shared" ca="1" si="8"/>
        <v/>
      </c>
    </row>
    <row r="22" spans="1:64" s="1" customFormat="1" ht="40.15" customHeight="1">
      <c r="A22" s="9"/>
      <c r="B22" s="61" t="s">
        <v>14</v>
      </c>
      <c r="C22" s="57"/>
      <c r="D22" s="57"/>
      <c r="E22" s="58"/>
      <c r="F22" s="59">
        <f ca="1">F21+1</f>
        <v>46086</v>
      </c>
      <c r="G22" s="60">
        <v>24</v>
      </c>
      <c r="H22" s="57"/>
      <c r="I22" s="25" t="str">
        <f t="shared" ca="1" si="9"/>
        <v/>
      </c>
      <c r="J22" s="25" t="str">
        <f t="shared" ca="1" si="5"/>
        <v/>
      </c>
      <c r="K22" s="25" t="str">
        <f t="shared" ca="1" si="5"/>
        <v/>
      </c>
      <c r="L22" s="25" t="str">
        <f t="shared" ca="1" si="5"/>
        <v/>
      </c>
      <c r="M22" s="25" t="str">
        <f t="shared" ca="1" si="5"/>
        <v/>
      </c>
      <c r="N22" s="25" t="str">
        <f t="shared" ca="1" si="5"/>
        <v/>
      </c>
      <c r="O22" s="25" t="str">
        <f t="shared" ca="1" si="5"/>
        <v/>
      </c>
      <c r="P22" s="25" t="str">
        <f t="shared" ca="1" si="5"/>
        <v/>
      </c>
      <c r="Q22" s="25" t="str">
        <f t="shared" ca="1" si="5"/>
        <v/>
      </c>
      <c r="R22" s="25" t="str">
        <f t="shared" ca="1" si="5"/>
        <v/>
      </c>
      <c r="S22" s="25" t="str">
        <f t="shared" ca="1" si="5"/>
        <v/>
      </c>
      <c r="T22" s="25" t="str">
        <f t="shared" ca="1" si="5"/>
        <v/>
      </c>
      <c r="U22" s="25" t="str">
        <f t="shared" ca="1" si="5"/>
        <v/>
      </c>
      <c r="V22" s="25" t="str">
        <f t="shared" ca="1" si="5"/>
        <v/>
      </c>
      <c r="W22" s="25" t="str">
        <f t="shared" ca="1" si="5"/>
        <v/>
      </c>
      <c r="X22" s="25" t="str">
        <f t="shared" ca="1" si="5"/>
        <v/>
      </c>
      <c r="Y22" s="25" t="str">
        <f t="shared" ca="1" si="6"/>
        <v/>
      </c>
      <c r="Z22" s="25" t="str">
        <f t="shared" ca="1" si="6"/>
        <v/>
      </c>
      <c r="AA22" s="25" t="str">
        <f t="shared" ca="1" si="6"/>
        <v/>
      </c>
      <c r="AB22" s="25" t="str">
        <f t="shared" ca="1" si="6"/>
        <v/>
      </c>
      <c r="AC22" s="25" t="str">
        <f t="shared" ca="1" si="6"/>
        <v/>
      </c>
      <c r="AD22" s="25" t="str">
        <f t="shared" ca="1" si="6"/>
        <v/>
      </c>
      <c r="AE22" s="25" t="str">
        <f t="shared" ca="1" si="6"/>
        <v/>
      </c>
      <c r="AF22" s="25" t="str">
        <f t="shared" ca="1" si="6"/>
        <v/>
      </c>
      <c r="AG22" s="25" t="str">
        <f t="shared" ca="1" si="6"/>
        <v/>
      </c>
      <c r="AH22" s="25" t="str">
        <f t="shared" ca="1" si="6"/>
        <v/>
      </c>
      <c r="AI22" s="25" t="str">
        <f t="shared" ca="1" si="6"/>
        <v/>
      </c>
      <c r="AJ22" s="25" t="str">
        <f t="shared" ca="1" si="6"/>
        <v/>
      </c>
      <c r="AK22" s="25" t="str">
        <f t="shared" ca="1" si="6"/>
        <v/>
      </c>
      <c r="AL22" s="25" t="str">
        <f t="shared" ca="1" si="6"/>
        <v/>
      </c>
      <c r="AM22" s="25" t="str">
        <f t="shared" ca="1" si="6"/>
        <v/>
      </c>
      <c r="AN22" s="25" t="str">
        <f t="shared" ca="1" si="6"/>
        <v/>
      </c>
      <c r="AO22" s="25" t="str">
        <f t="shared" ca="1" si="7"/>
        <v/>
      </c>
      <c r="AP22" s="25" t="str">
        <f t="shared" ca="1" si="7"/>
        <v/>
      </c>
      <c r="AQ22" s="25" t="str">
        <f t="shared" ca="1" si="7"/>
        <v/>
      </c>
      <c r="AR22" s="25" t="str">
        <f t="shared" ca="1" si="7"/>
        <v/>
      </c>
      <c r="AS22" s="25" t="str">
        <f t="shared" ca="1" si="7"/>
        <v/>
      </c>
      <c r="AT22" s="25" t="str">
        <f t="shared" ca="1" si="7"/>
        <v/>
      </c>
      <c r="AU22" s="25" t="str">
        <f t="shared" ca="1" si="7"/>
        <v/>
      </c>
      <c r="AV22" s="25" t="str">
        <f t="shared" ca="1" si="7"/>
        <v/>
      </c>
      <c r="AW22" s="25" t="str">
        <f t="shared" ca="1" si="7"/>
        <v/>
      </c>
      <c r="AX22" s="25" t="str">
        <f t="shared" ca="1" si="7"/>
        <v/>
      </c>
      <c r="AY22" s="25" t="str">
        <f t="shared" ca="1" si="7"/>
        <v/>
      </c>
      <c r="AZ22" s="25" t="str">
        <f t="shared" ca="1" si="7"/>
        <v/>
      </c>
      <c r="BA22" s="25" t="str">
        <f t="shared" ca="1" si="7"/>
        <v/>
      </c>
      <c r="BB22" s="25" t="str">
        <f t="shared" ca="1" si="7"/>
        <v/>
      </c>
      <c r="BC22" s="25" t="str">
        <f t="shared" ca="1" si="7"/>
        <v/>
      </c>
      <c r="BD22" s="25" t="str">
        <f t="shared" ca="1" si="7"/>
        <v/>
      </c>
      <c r="BE22" s="25" t="str">
        <f t="shared" ca="1" si="8"/>
        <v/>
      </c>
      <c r="BF22" s="25" t="str">
        <f t="shared" ca="1" si="8"/>
        <v/>
      </c>
      <c r="BG22" s="25" t="str">
        <f t="shared" ca="1" si="8"/>
        <v/>
      </c>
      <c r="BH22" s="25" t="str">
        <f t="shared" ca="1" si="8"/>
        <v/>
      </c>
      <c r="BI22" s="25" t="str">
        <f t="shared" ca="1" si="8"/>
        <v/>
      </c>
      <c r="BJ22" s="25" t="str">
        <f t="shared" ca="1" si="8"/>
        <v/>
      </c>
      <c r="BK22" s="25" t="str">
        <f t="shared" ca="1" si="8"/>
        <v/>
      </c>
      <c r="BL22" s="25" t="str">
        <f t="shared" ca="1" si="8"/>
        <v/>
      </c>
    </row>
    <row r="23" spans="1:64" s="1" customFormat="1" ht="40.15" customHeight="1">
      <c r="A23" s="9"/>
      <c r="B23" s="113" t="s">
        <v>16</v>
      </c>
      <c r="C23" s="57"/>
      <c r="D23" s="57"/>
      <c r="E23" s="58"/>
      <c r="F23" s="59"/>
      <c r="G23" s="60"/>
      <c r="H23" s="57"/>
      <c r="I23" s="25" t="str">
        <f t="shared" ca="1" si="9"/>
        <v/>
      </c>
      <c r="J23" s="25" t="str">
        <f t="shared" ca="1" si="5"/>
        <v/>
      </c>
      <c r="K23" s="25" t="str">
        <f t="shared" ca="1" si="5"/>
        <v/>
      </c>
      <c r="L23" s="25" t="str">
        <f t="shared" ca="1" si="5"/>
        <v/>
      </c>
      <c r="M23" s="25" t="str">
        <f t="shared" ca="1" si="5"/>
        <v/>
      </c>
      <c r="N23" s="25" t="str">
        <f t="shared" ca="1" si="5"/>
        <v/>
      </c>
      <c r="O23" s="25" t="str">
        <f t="shared" ca="1" si="5"/>
        <v/>
      </c>
      <c r="P23" s="25" t="str">
        <f t="shared" ca="1" si="5"/>
        <v/>
      </c>
      <c r="Q23" s="25" t="str">
        <f t="shared" ca="1" si="5"/>
        <v/>
      </c>
      <c r="R23" s="25" t="str">
        <f t="shared" ca="1" si="5"/>
        <v/>
      </c>
      <c r="S23" s="25" t="str">
        <f t="shared" ca="1" si="5"/>
        <v/>
      </c>
      <c r="T23" s="25" t="str">
        <f t="shared" ca="1" si="5"/>
        <v/>
      </c>
      <c r="U23" s="25" t="str">
        <f t="shared" ca="1" si="5"/>
        <v/>
      </c>
      <c r="V23" s="25" t="str">
        <f t="shared" ca="1" si="5"/>
        <v/>
      </c>
      <c r="W23" s="25" t="str">
        <f t="shared" ca="1" si="5"/>
        <v/>
      </c>
      <c r="X23" s="25" t="str">
        <f t="shared" ca="1" si="5"/>
        <v/>
      </c>
      <c r="Y23" s="25" t="str">
        <f t="shared" ca="1" si="6"/>
        <v/>
      </c>
      <c r="Z23" s="25" t="str">
        <f t="shared" ca="1" si="6"/>
        <v/>
      </c>
      <c r="AA23" s="25" t="str">
        <f t="shared" ca="1" si="6"/>
        <v/>
      </c>
      <c r="AB23" s="25" t="str">
        <f t="shared" ca="1" si="6"/>
        <v/>
      </c>
      <c r="AC23" s="25" t="str">
        <f t="shared" ca="1" si="6"/>
        <v/>
      </c>
      <c r="AD23" s="25" t="str">
        <f t="shared" ca="1" si="6"/>
        <v/>
      </c>
      <c r="AE23" s="25" t="str">
        <f t="shared" ca="1" si="6"/>
        <v/>
      </c>
      <c r="AF23" s="25" t="str">
        <f t="shared" ca="1" si="6"/>
        <v/>
      </c>
      <c r="AG23" s="25" t="str">
        <f t="shared" ca="1" si="6"/>
        <v/>
      </c>
      <c r="AH23" s="25" t="str">
        <f t="shared" ca="1" si="6"/>
        <v/>
      </c>
      <c r="AI23" s="25" t="str">
        <f t="shared" ca="1" si="6"/>
        <v/>
      </c>
      <c r="AJ23" s="25" t="str">
        <f t="shared" ca="1" si="6"/>
        <v/>
      </c>
      <c r="AK23" s="25" t="str">
        <f t="shared" ca="1" si="6"/>
        <v/>
      </c>
      <c r="AL23" s="25" t="str">
        <f t="shared" ca="1" si="6"/>
        <v/>
      </c>
      <c r="AM23" s="25" t="str">
        <f t="shared" ca="1" si="6"/>
        <v/>
      </c>
      <c r="AN23" s="25" t="str">
        <f t="shared" ca="1" si="6"/>
        <v/>
      </c>
      <c r="AO23" s="25" t="str">
        <f t="shared" ca="1" si="7"/>
        <v/>
      </c>
      <c r="AP23" s="25" t="str">
        <f t="shared" ca="1" si="7"/>
        <v/>
      </c>
      <c r="AQ23" s="25" t="str">
        <f t="shared" ca="1" si="7"/>
        <v/>
      </c>
      <c r="AR23" s="25" t="str">
        <f t="shared" ca="1" si="7"/>
        <v/>
      </c>
      <c r="AS23" s="25" t="str">
        <f t="shared" ca="1" si="7"/>
        <v/>
      </c>
      <c r="AT23" s="25" t="str">
        <f t="shared" ca="1" si="7"/>
        <v/>
      </c>
      <c r="AU23" s="25" t="str">
        <f t="shared" ca="1" si="7"/>
        <v/>
      </c>
      <c r="AV23" s="25" t="str">
        <f t="shared" ca="1" si="7"/>
        <v/>
      </c>
      <c r="AW23" s="25" t="str">
        <f t="shared" ca="1" si="7"/>
        <v/>
      </c>
      <c r="AX23" s="25" t="str">
        <f t="shared" ca="1" si="7"/>
        <v/>
      </c>
      <c r="AY23" s="25" t="str">
        <f t="shared" ca="1" si="7"/>
        <v/>
      </c>
      <c r="AZ23" s="25" t="str">
        <f t="shared" ca="1" si="7"/>
        <v/>
      </c>
      <c r="BA23" s="25" t="str">
        <f t="shared" ca="1" si="7"/>
        <v/>
      </c>
      <c r="BB23" s="25" t="str">
        <f t="shared" ca="1" si="7"/>
        <v/>
      </c>
      <c r="BC23" s="25" t="str">
        <f t="shared" ca="1" si="7"/>
        <v/>
      </c>
      <c r="BD23" s="25" t="str">
        <f t="shared" ca="1" si="7"/>
        <v/>
      </c>
      <c r="BE23" s="25" t="str">
        <f t="shared" ca="1" si="8"/>
        <v/>
      </c>
      <c r="BF23" s="25" t="str">
        <f t="shared" ca="1" si="8"/>
        <v/>
      </c>
      <c r="BG23" s="25" t="str">
        <f t="shared" ca="1" si="8"/>
        <v/>
      </c>
      <c r="BH23" s="25" t="str">
        <f t="shared" ca="1" si="8"/>
        <v/>
      </c>
      <c r="BI23" s="25" t="str">
        <f t="shared" ca="1" si="8"/>
        <v/>
      </c>
      <c r="BJ23" s="25" t="str">
        <f t="shared" ca="1" si="8"/>
        <v/>
      </c>
      <c r="BK23" s="25" t="str">
        <f t="shared" ca="1" si="8"/>
        <v/>
      </c>
      <c r="BL23" s="25" t="str">
        <f t="shared" ca="1" si="8"/>
        <v/>
      </c>
    </row>
    <row r="24" spans="1:64" s="1" customFormat="1" ht="40.15" customHeight="1">
      <c r="A24" s="9"/>
      <c r="B24" s="61" t="s">
        <v>10</v>
      </c>
      <c r="C24" s="57" t="s">
        <v>25</v>
      </c>
      <c r="D24" s="57"/>
      <c r="E24" s="58"/>
      <c r="F24" s="59">
        <f ca="1">F12+15</f>
        <v>46085</v>
      </c>
      <c r="G24" s="60">
        <v>4</v>
      </c>
      <c r="H24" s="57"/>
      <c r="I24" s="25" t="str">
        <f t="shared" ca="1" si="9"/>
        <v/>
      </c>
      <c r="J24" s="25" t="str">
        <f t="shared" ca="1" si="5"/>
        <v/>
      </c>
      <c r="K24" s="25" t="str">
        <f t="shared" ca="1" si="5"/>
        <v/>
      </c>
      <c r="L24" s="25" t="str">
        <f t="shared" ca="1" si="5"/>
        <v/>
      </c>
      <c r="M24" s="25" t="str">
        <f t="shared" ca="1" si="5"/>
        <v/>
      </c>
      <c r="N24" s="25" t="str">
        <f t="shared" ca="1" si="5"/>
        <v/>
      </c>
      <c r="O24" s="25" t="str">
        <f t="shared" ca="1" si="5"/>
        <v/>
      </c>
      <c r="P24" s="25" t="str">
        <f t="shared" ca="1" si="5"/>
        <v/>
      </c>
      <c r="Q24" s="25" t="str">
        <f t="shared" ca="1" si="5"/>
        <v/>
      </c>
      <c r="R24" s="25" t="str">
        <f t="shared" ca="1" si="5"/>
        <v/>
      </c>
      <c r="S24" s="25" t="str">
        <f t="shared" ca="1" si="5"/>
        <v/>
      </c>
      <c r="T24" s="25" t="str">
        <f t="shared" ca="1" si="5"/>
        <v/>
      </c>
      <c r="U24" s="25" t="str">
        <f t="shared" ca="1" si="5"/>
        <v/>
      </c>
      <c r="V24" s="25" t="str">
        <f t="shared" ca="1" si="5"/>
        <v/>
      </c>
      <c r="W24" s="25" t="str">
        <f t="shared" ca="1" si="5"/>
        <v/>
      </c>
      <c r="X24" s="25" t="str">
        <f t="shared" ca="1" si="5"/>
        <v/>
      </c>
      <c r="Y24" s="25" t="str">
        <f t="shared" ca="1" si="6"/>
        <v/>
      </c>
      <c r="Z24" s="25" t="str">
        <f t="shared" ca="1" si="6"/>
        <v/>
      </c>
      <c r="AA24" s="25" t="str">
        <f t="shared" ca="1" si="6"/>
        <v/>
      </c>
      <c r="AB24" s="25" t="str">
        <f t="shared" ca="1" si="6"/>
        <v/>
      </c>
      <c r="AC24" s="25" t="str">
        <f t="shared" ca="1" si="6"/>
        <v/>
      </c>
      <c r="AD24" s="25" t="str">
        <f t="shared" ca="1" si="6"/>
        <v/>
      </c>
      <c r="AE24" s="25" t="str">
        <f t="shared" ca="1" si="6"/>
        <v/>
      </c>
      <c r="AF24" s="25" t="str">
        <f t="shared" ca="1" si="6"/>
        <v/>
      </c>
      <c r="AG24" s="25" t="str">
        <f t="shared" ca="1" si="6"/>
        <v/>
      </c>
      <c r="AH24" s="25" t="str">
        <f t="shared" ca="1" si="6"/>
        <v/>
      </c>
      <c r="AI24" s="25" t="str">
        <f t="shared" ca="1" si="6"/>
        <v/>
      </c>
      <c r="AJ24" s="25" t="str">
        <f t="shared" ca="1" si="6"/>
        <v/>
      </c>
      <c r="AK24" s="25" t="str">
        <f t="shared" ca="1" si="6"/>
        <v/>
      </c>
      <c r="AL24" s="25" t="str">
        <f t="shared" ca="1" si="6"/>
        <v/>
      </c>
      <c r="AM24" s="25" t="str">
        <f t="shared" ca="1" si="6"/>
        <v/>
      </c>
      <c r="AN24" s="25" t="str">
        <f t="shared" ca="1" si="6"/>
        <v/>
      </c>
      <c r="AO24" s="25" t="str">
        <f t="shared" ca="1" si="7"/>
        <v/>
      </c>
      <c r="AP24" s="25" t="str">
        <f t="shared" ca="1" si="7"/>
        <v/>
      </c>
      <c r="AQ24" s="25" t="str">
        <f t="shared" ca="1" si="7"/>
        <v/>
      </c>
      <c r="AR24" s="25" t="str">
        <f t="shared" ca="1" si="7"/>
        <v/>
      </c>
      <c r="AS24" s="25" t="str">
        <f t="shared" ca="1" si="7"/>
        <v/>
      </c>
      <c r="AT24" s="25" t="str">
        <f t="shared" ca="1" si="7"/>
        <v/>
      </c>
      <c r="AU24" s="25" t="str">
        <f t="shared" ca="1" si="7"/>
        <v/>
      </c>
      <c r="AV24" s="25" t="str">
        <f t="shared" ca="1" si="7"/>
        <v/>
      </c>
      <c r="AW24" s="25" t="str">
        <f t="shared" ca="1" si="7"/>
        <v/>
      </c>
      <c r="AX24" s="25" t="str">
        <f t="shared" ca="1" si="7"/>
        <v/>
      </c>
      <c r="AY24" s="25" t="str">
        <f t="shared" ca="1" si="7"/>
        <v/>
      </c>
      <c r="AZ24" s="25" t="str">
        <f t="shared" ca="1" si="7"/>
        <v/>
      </c>
      <c r="BA24" s="25" t="str">
        <f t="shared" ca="1" si="7"/>
        <v/>
      </c>
      <c r="BB24" s="25" t="str">
        <f t="shared" ca="1" si="7"/>
        <v/>
      </c>
      <c r="BC24" s="25" t="str">
        <f t="shared" ca="1" si="7"/>
        <v/>
      </c>
      <c r="BD24" s="25" t="str">
        <f t="shared" ca="1" si="7"/>
        <v/>
      </c>
      <c r="BE24" s="25" t="str">
        <f t="shared" ca="1" si="8"/>
        <v/>
      </c>
      <c r="BF24" s="25" t="str">
        <f t="shared" ca="1" si="8"/>
        <v/>
      </c>
      <c r="BG24" s="25" t="str">
        <f t="shared" ca="1" si="8"/>
        <v/>
      </c>
      <c r="BH24" s="25" t="str">
        <f t="shared" ca="1" si="8"/>
        <v/>
      </c>
      <c r="BI24" s="25" t="str">
        <f t="shared" ca="1" si="8"/>
        <v/>
      </c>
      <c r="BJ24" s="25" t="str">
        <f t="shared" ca="1" si="8"/>
        <v/>
      </c>
      <c r="BK24" s="25" t="str">
        <f t="shared" ca="1" si="8"/>
        <v/>
      </c>
      <c r="BL24" s="25" t="str">
        <f t="shared" ca="1" si="8"/>
        <v/>
      </c>
    </row>
    <row r="25" spans="1:64" s="1" customFormat="1" ht="40.15" customHeight="1">
      <c r="A25" s="9"/>
      <c r="B25" s="61" t="s">
        <v>11</v>
      </c>
      <c r="C25" s="57" t="s">
        <v>23</v>
      </c>
      <c r="D25" s="57"/>
      <c r="E25" s="58"/>
      <c r="F25" s="59">
        <f ca="1">F24+3</f>
        <v>46088</v>
      </c>
      <c r="G25" s="60">
        <v>14</v>
      </c>
      <c r="H25" s="57"/>
      <c r="I25" s="25" t="str">
        <f t="shared" ca="1" si="9"/>
        <v/>
      </c>
      <c r="J25" s="25" t="str">
        <f t="shared" ca="1" si="5"/>
        <v/>
      </c>
      <c r="K25" s="25" t="str">
        <f t="shared" ca="1" si="5"/>
        <v/>
      </c>
      <c r="L25" s="25" t="str">
        <f t="shared" ca="1" si="5"/>
        <v/>
      </c>
      <c r="M25" s="25" t="str">
        <f t="shared" ca="1" si="5"/>
        <v/>
      </c>
      <c r="N25" s="25" t="str">
        <f t="shared" ca="1" si="5"/>
        <v/>
      </c>
      <c r="O25" s="25" t="str">
        <f t="shared" ca="1" si="5"/>
        <v/>
      </c>
      <c r="P25" s="25" t="str">
        <f t="shared" ca="1" si="5"/>
        <v/>
      </c>
      <c r="Q25" s="25" t="str">
        <f t="shared" ca="1" si="5"/>
        <v/>
      </c>
      <c r="R25" s="25" t="str">
        <f t="shared" ca="1" si="5"/>
        <v/>
      </c>
      <c r="S25" s="25" t="str">
        <f t="shared" ca="1" si="5"/>
        <v/>
      </c>
      <c r="T25" s="25" t="str">
        <f t="shared" ca="1" si="5"/>
        <v/>
      </c>
      <c r="U25" s="25" t="str">
        <f t="shared" ca="1" si="5"/>
        <v/>
      </c>
      <c r="V25" s="25" t="str">
        <f t="shared" ca="1" si="5"/>
        <v/>
      </c>
      <c r="W25" s="25" t="str">
        <f t="shared" ca="1" si="5"/>
        <v/>
      </c>
      <c r="X25" s="25" t="str">
        <f t="shared" ca="1" si="5"/>
        <v/>
      </c>
      <c r="Y25" s="25" t="str">
        <f t="shared" ca="1" si="6"/>
        <v/>
      </c>
      <c r="Z25" s="25" t="str">
        <f t="shared" ca="1" si="6"/>
        <v/>
      </c>
      <c r="AA25" s="25" t="str">
        <f t="shared" ca="1" si="6"/>
        <v/>
      </c>
      <c r="AB25" s="25" t="str">
        <f t="shared" ca="1" si="6"/>
        <v/>
      </c>
      <c r="AC25" s="25" t="str">
        <f t="shared" ca="1" si="6"/>
        <v/>
      </c>
      <c r="AD25" s="25" t="str">
        <f t="shared" ca="1" si="6"/>
        <v/>
      </c>
      <c r="AE25" s="25" t="str">
        <f t="shared" ca="1" si="6"/>
        <v/>
      </c>
      <c r="AF25" s="25" t="str">
        <f t="shared" ca="1" si="6"/>
        <v/>
      </c>
      <c r="AG25" s="25" t="str">
        <f t="shared" ca="1" si="6"/>
        <v/>
      </c>
      <c r="AH25" s="25" t="str">
        <f t="shared" ca="1" si="6"/>
        <v/>
      </c>
      <c r="AI25" s="25" t="str">
        <f t="shared" ca="1" si="6"/>
        <v/>
      </c>
      <c r="AJ25" s="25" t="str">
        <f t="shared" ca="1" si="6"/>
        <v/>
      </c>
      <c r="AK25" s="25" t="str">
        <f t="shared" ca="1" si="6"/>
        <v/>
      </c>
      <c r="AL25" s="25" t="str">
        <f t="shared" ca="1" si="6"/>
        <v/>
      </c>
      <c r="AM25" s="25" t="str">
        <f t="shared" ca="1" si="6"/>
        <v/>
      </c>
      <c r="AN25" s="25" t="str">
        <f t="shared" ca="1" si="6"/>
        <v/>
      </c>
      <c r="AO25" s="25" t="str">
        <f t="shared" ca="1" si="7"/>
        <v/>
      </c>
      <c r="AP25" s="25" t="str">
        <f t="shared" ca="1" si="7"/>
        <v/>
      </c>
      <c r="AQ25" s="25" t="str">
        <f t="shared" ca="1" si="7"/>
        <v/>
      </c>
      <c r="AR25" s="25" t="str">
        <f t="shared" ca="1" si="7"/>
        <v/>
      </c>
      <c r="AS25" s="25" t="str">
        <f t="shared" ca="1" si="7"/>
        <v/>
      </c>
      <c r="AT25" s="25" t="str">
        <f t="shared" ca="1" si="7"/>
        <v/>
      </c>
      <c r="AU25" s="25" t="str">
        <f t="shared" ca="1" si="7"/>
        <v/>
      </c>
      <c r="AV25" s="25" t="str">
        <f t="shared" ca="1" si="7"/>
        <v/>
      </c>
      <c r="AW25" s="25" t="str">
        <f t="shared" ca="1" si="7"/>
        <v/>
      </c>
      <c r="AX25" s="25" t="str">
        <f t="shared" ca="1" si="7"/>
        <v/>
      </c>
      <c r="AY25" s="25" t="str">
        <f t="shared" ca="1" si="7"/>
        <v/>
      </c>
      <c r="AZ25" s="25" t="str">
        <f t="shared" ca="1" si="7"/>
        <v/>
      </c>
      <c r="BA25" s="25" t="str">
        <f t="shared" ca="1" si="7"/>
        <v/>
      </c>
      <c r="BB25" s="25" t="str">
        <f t="shared" ca="1" si="7"/>
        <v/>
      </c>
      <c r="BC25" s="25" t="str">
        <f t="shared" ca="1" si="7"/>
        <v/>
      </c>
      <c r="BD25" s="25" t="str">
        <f t="shared" ca="1" si="7"/>
        <v/>
      </c>
      <c r="BE25" s="25" t="str">
        <f t="shared" ca="1" si="8"/>
        <v/>
      </c>
      <c r="BF25" s="25" t="str">
        <f t="shared" ca="1" si="8"/>
        <v/>
      </c>
      <c r="BG25" s="25" t="str">
        <f t="shared" ca="1" si="8"/>
        <v/>
      </c>
      <c r="BH25" s="25" t="str">
        <f t="shared" ca="1" si="8"/>
        <v/>
      </c>
      <c r="BI25" s="25" t="str">
        <f t="shared" ca="1" si="8"/>
        <v/>
      </c>
      <c r="BJ25" s="25" t="str">
        <f t="shared" ca="1" si="8"/>
        <v/>
      </c>
      <c r="BK25" s="25" t="str">
        <f t="shared" ca="1" si="8"/>
        <v/>
      </c>
      <c r="BL25" s="25" t="str">
        <f t="shared" ca="1" si="8"/>
        <v/>
      </c>
    </row>
    <row r="26" spans="1:64" s="1" customFormat="1" ht="40.15" customHeight="1">
      <c r="A26" s="9"/>
      <c r="B26" s="61" t="s">
        <v>12</v>
      </c>
      <c r="C26" s="57" t="s">
        <v>25</v>
      </c>
      <c r="D26" s="57"/>
      <c r="E26" s="58"/>
      <c r="F26" s="59">
        <f ca="1">F25+15</f>
        <v>46103</v>
      </c>
      <c r="G26" s="60">
        <v>6</v>
      </c>
      <c r="H26" s="57"/>
      <c r="I26" s="25" t="str">
        <f t="shared" ca="1" si="9"/>
        <v/>
      </c>
      <c r="J26" s="25" t="str">
        <f t="shared" ca="1" si="5"/>
        <v/>
      </c>
      <c r="K26" s="25" t="str">
        <f t="shared" ca="1" si="5"/>
        <v/>
      </c>
      <c r="L26" s="25" t="str">
        <f t="shared" ca="1" si="5"/>
        <v/>
      </c>
      <c r="M26" s="25" t="str">
        <f t="shared" ca="1" si="5"/>
        <v/>
      </c>
      <c r="N26" s="25" t="str">
        <f t="shared" ca="1" si="5"/>
        <v/>
      </c>
      <c r="O26" s="25" t="str">
        <f t="shared" ca="1" si="5"/>
        <v/>
      </c>
      <c r="P26" s="25" t="str">
        <f t="shared" ca="1" si="5"/>
        <v/>
      </c>
      <c r="Q26" s="25" t="str">
        <f t="shared" ca="1" si="5"/>
        <v/>
      </c>
      <c r="R26" s="25" t="str">
        <f t="shared" ca="1" si="5"/>
        <v/>
      </c>
      <c r="S26" s="25" t="str">
        <f t="shared" ca="1" si="5"/>
        <v/>
      </c>
      <c r="T26" s="25" t="str">
        <f t="shared" ca="1" si="5"/>
        <v/>
      </c>
      <c r="U26" s="25" t="str">
        <f t="shared" ca="1" si="5"/>
        <v/>
      </c>
      <c r="V26" s="25" t="str">
        <f t="shared" ca="1" si="5"/>
        <v/>
      </c>
      <c r="W26" s="25" t="str">
        <f t="shared" ca="1" si="5"/>
        <v/>
      </c>
      <c r="X26" s="25" t="str">
        <f t="shared" ca="1" si="5"/>
        <v/>
      </c>
      <c r="Y26" s="25" t="str">
        <f t="shared" ca="1" si="6"/>
        <v/>
      </c>
      <c r="Z26" s="25" t="str">
        <f t="shared" ca="1" si="6"/>
        <v/>
      </c>
      <c r="AA26" s="25" t="str">
        <f t="shared" ca="1" si="6"/>
        <v/>
      </c>
      <c r="AB26" s="25" t="str">
        <f t="shared" ca="1" si="6"/>
        <v/>
      </c>
      <c r="AC26" s="25" t="str">
        <f t="shared" ca="1" si="6"/>
        <v/>
      </c>
      <c r="AD26" s="25" t="str">
        <f t="shared" ca="1" si="6"/>
        <v/>
      </c>
      <c r="AE26" s="25" t="str">
        <f t="shared" ca="1" si="6"/>
        <v/>
      </c>
      <c r="AF26" s="25" t="str">
        <f t="shared" ca="1" si="6"/>
        <v/>
      </c>
      <c r="AG26" s="25" t="str">
        <f t="shared" ca="1" si="6"/>
        <v/>
      </c>
      <c r="AH26" s="25" t="str">
        <f t="shared" ca="1" si="6"/>
        <v/>
      </c>
      <c r="AI26" s="25" t="str">
        <f t="shared" ca="1" si="6"/>
        <v/>
      </c>
      <c r="AJ26" s="25" t="str">
        <f t="shared" ca="1" si="6"/>
        <v/>
      </c>
      <c r="AK26" s="25" t="str">
        <f t="shared" ca="1" si="6"/>
        <v/>
      </c>
      <c r="AL26" s="25" t="str">
        <f t="shared" ca="1" si="6"/>
        <v/>
      </c>
      <c r="AM26" s="25" t="str">
        <f t="shared" ca="1" si="6"/>
        <v/>
      </c>
      <c r="AN26" s="25" t="str">
        <f t="shared" ref="AN26:BC35" ca="1" si="10">IF(AND($C26="Ziel",AN$7&gt;=$F26,AN$7&lt;=$F26+$G26-1),2,IF(AND($C26="Meilenstein",AN$7&gt;=$F26,AN$7&lt;=$F26+$G26-1),1,""))</f>
        <v/>
      </c>
      <c r="AO26" s="25" t="str">
        <f t="shared" ca="1" si="7"/>
        <v/>
      </c>
      <c r="AP26" s="25" t="str">
        <f t="shared" ca="1" si="7"/>
        <v/>
      </c>
      <c r="AQ26" s="25" t="str">
        <f t="shared" ca="1" si="7"/>
        <v/>
      </c>
      <c r="AR26" s="25" t="str">
        <f t="shared" ca="1" si="7"/>
        <v/>
      </c>
      <c r="AS26" s="25" t="str">
        <f t="shared" ca="1" si="7"/>
        <v/>
      </c>
      <c r="AT26" s="25" t="str">
        <f t="shared" ca="1" si="7"/>
        <v/>
      </c>
      <c r="AU26" s="25" t="str">
        <f t="shared" ca="1" si="7"/>
        <v/>
      </c>
      <c r="AV26" s="25" t="str">
        <f t="shared" ca="1" si="7"/>
        <v/>
      </c>
      <c r="AW26" s="25" t="str">
        <f t="shared" ca="1" si="7"/>
        <v/>
      </c>
      <c r="AX26" s="25" t="str">
        <f t="shared" ca="1" si="7"/>
        <v/>
      </c>
      <c r="AY26" s="25" t="str">
        <f t="shared" ca="1" si="7"/>
        <v/>
      </c>
      <c r="AZ26" s="25" t="str">
        <f t="shared" ca="1" si="7"/>
        <v/>
      </c>
      <c r="BA26" s="25" t="str">
        <f t="shared" ca="1" si="7"/>
        <v/>
      </c>
      <c r="BB26" s="25" t="str">
        <f t="shared" ca="1" si="7"/>
        <v/>
      </c>
      <c r="BC26" s="25" t="str">
        <f t="shared" ca="1" si="7"/>
        <v/>
      </c>
      <c r="BD26" s="25" t="str">
        <f t="shared" ref="BD26:BL35" ca="1" si="11">IF(AND($C26="Ziel",BD$7&gt;=$F26,BD$7&lt;=$F26+$G26-1),2,IF(AND($C26="Meilenstein",BD$7&gt;=$F26,BD$7&lt;=$F26+$G26-1),1,""))</f>
        <v/>
      </c>
      <c r="BE26" s="25" t="str">
        <f t="shared" ca="1" si="8"/>
        <v/>
      </c>
      <c r="BF26" s="25" t="str">
        <f t="shared" ca="1" si="8"/>
        <v/>
      </c>
      <c r="BG26" s="25" t="str">
        <f t="shared" ca="1" si="8"/>
        <v/>
      </c>
      <c r="BH26" s="25" t="str">
        <f t="shared" ca="1" si="8"/>
        <v/>
      </c>
      <c r="BI26" s="25" t="str">
        <f t="shared" ca="1" si="8"/>
        <v/>
      </c>
      <c r="BJ26" s="25" t="str">
        <f t="shared" ca="1" si="8"/>
        <v/>
      </c>
      <c r="BK26" s="25" t="str">
        <f t="shared" ca="1" si="8"/>
        <v/>
      </c>
      <c r="BL26" s="25" t="str">
        <f t="shared" ca="1" si="8"/>
        <v/>
      </c>
    </row>
    <row r="27" spans="1:64" s="1" customFormat="1" ht="40.15" customHeight="1">
      <c r="A27" s="9"/>
      <c r="B27" s="61" t="s">
        <v>13</v>
      </c>
      <c r="C27" s="57" t="s">
        <v>20</v>
      </c>
      <c r="D27" s="57"/>
      <c r="E27" s="58"/>
      <c r="F27" s="59">
        <f ca="1">F21+22</f>
        <v>46107</v>
      </c>
      <c r="G27" s="60">
        <v>3</v>
      </c>
      <c r="H27" s="57"/>
      <c r="I27" s="25" t="str">
        <f t="shared" ca="1" si="9"/>
        <v/>
      </c>
      <c r="J27" s="25" t="str">
        <f t="shared" ca="1" si="9"/>
        <v/>
      </c>
      <c r="K27" s="25" t="str">
        <f t="shared" ca="1" si="9"/>
        <v/>
      </c>
      <c r="L27" s="25" t="str">
        <f t="shared" ca="1" si="9"/>
        <v/>
      </c>
      <c r="M27" s="25" t="str">
        <f t="shared" ca="1" si="9"/>
        <v/>
      </c>
      <c r="N27" s="25" t="str">
        <f t="shared" ca="1" si="9"/>
        <v/>
      </c>
      <c r="O27" s="25" t="str">
        <f t="shared" ca="1" si="9"/>
        <v/>
      </c>
      <c r="P27" s="25" t="str">
        <f t="shared" ca="1" si="9"/>
        <v/>
      </c>
      <c r="Q27" s="25" t="str">
        <f t="shared" ca="1" si="9"/>
        <v/>
      </c>
      <c r="R27" s="25" t="str">
        <f t="shared" ca="1" si="9"/>
        <v/>
      </c>
      <c r="S27" s="25" t="str">
        <f t="shared" ca="1" si="9"/>
        <v/>
      </c>
      <c r="T27" s="25" t="str">
        <f t="shared" ca="1" si="9"/>
        <v/>
      </c>
      <c r="U27" s="25" t="str">
        <f t="shared" ca="1" si="9"/>
        <v/>
      </c>
      <c r="V27" s="25" t="str">
        <f t="shared" ca="1" si="9"/>
        <v/>
      </c>
      <c r="W27" s="25" t="str">
        <f t="shared" ca="1" si="9"/>
        <v/>
      </c>
      <c r="X27" s="25" t="str">
        <f t="shared" ca="1" si="9"/>
        <v/>
      </c>
      <c r="Y27" s="25" t="str">
        <f t="shared" ref="Y27:AM35" ca="1" si="12">IF(AND($C27="Ziel",Y$7&gt;=$F27,Y$7&lt;=$F27+$G27-1),2,IF(AND($C27="Meilenstein",Y$7&gt;=$F27,Y$7&lt;=$F27+$G27-1),1,""))</f>
        <v/>
      </c>
      <c r="Z27" s="25" t="str">
        <f t="shared" ca="1" si="12"/>
        <v/>
      </c>
      <c r="AA27" s="25" t="str">
        <f t="shared" ca="1" si="12"/>
        <v/>
      </c>
      <c r="AB27" s="25" t="str">
        <f t="shared" ca="1" si="12"/>
        <v/>
      </c>
      <c r="AC27" s="25" t="str">
        <f t="shared" ca="1" si="12"/>
        <v/>
      </c>
      <c r="AD27" s="25" t="str">
        <f t="shared" ca="1" si="12"/>
        <v/>
      </c>
      <c r="AE27" s="25" t="str">
        <f t="shared" ca="1" si="12"/>
        <v/>
      </c>
      <c r="AF27" s="25" t="str">
        <f t="shared" ca="1" si="12"/>
        <v/>
      </c>
      <c r="AG27" s="25" t="str">
        <f t="shared" ca="1" si="12"/>
        <v/>
      </c>
      <c r="AH27" s="25" t="str">
        <f t="shared" ca="1" si="12"/>
        <v/>
      </c>
      <c r="AI27" s="25" t="str">
        <f t="shared" ca="1" si="12"/>
        <v/>
      </c>
      <c r="AJ27" s="25" t="str">
        <f t="shared" ca="1" si="12"/>
        <v/>
      </c>
      <c r="AK27" s="25" t="str">
        <f t="shared" ca="1" si="12"/>
        <v/>
      </c>
      <c r="AL27" s="25" t="str">
        <f t="shared" ca="1" si="12"/>
        <v/>
      </c>
      <c r="AM27" s="25" t="str">
        <f t="shared" ca="1" si="12"/>
        <v/>
      </c>
      <c r="AN27" s="25" t="str">
        <f t="shared" ca="1" si="10"/>
        <v/>
      </c>
      <c r="AO27" s="25" t="str">
        <f t="shared" ca="1" si="10"/>
        <v/>
      </c>
      <c r="AP27" s="25" t="str">
        <f t="shared" ca="1" si="10"/>
        <v/>
      </c>
      <c r="AQ27" s="25" t="str">
        <f t="shared" ca="1" si="10"/>
        <v/>
      </c>
      <c r="AR27" s="25" t="str">
        <f t="shared" ca="1" si="10"/>
        <v/>
      </c>
      <c r="AS27" s="25">
        <f t="shared" ca="1" si="10"/>
        <v>2</v>
      </c>
      <c r="AT27" s="25">
        <f t="shared" ca="1" si="10"/>
        <v>2</v>
      </c>
      <c r="AU27" s="25">
        <f t="shared" ca="1" si="10"/>
        <v>2</v>
      </c>
      <c r="AV27" s="25" t="str">
        <f t="shared" ca="1" si="10"/>
        <v/>
      </c>
      <c r="AW27" s="25" t="str">
        <f t="shared" ca="1" si="10"/>
        <v/>
      </c>
      <c r="AX27" s="25" t="str">
        <f t="shared" ca="1" si="10"/>
        <v/>
      </c>
      <c r="AY27" s="25" t="str">
        <f t="shared" ca="1" si="10"/>
        <v/>
      </c>
      <c r="AZ27" s="25" t="str">
        <f t="shared" ca="1" si="10"/>
        <v/>
      </c>
      <c r="BA27" s="25" t="str">
        <f t="shared" ca="1" si="10"/>
        <v/>
      </c>
      <c r="BB27" s="25" t="str">
        <f t="shared" ca="1" si="10"/>
        <v/>
      </c>
      <c r="BC27" s="25" t="str">
        <f t="shared" ca="1" si="10"/>
        <v/>
      </c>
      <c r="BD27" s="25" t="str">
        <f t="shared" ca="1" si="11"/>
        <v/>
      </c>
      <c r="BE27" s="25" t="str">
        <f t="shared" ca="1" si="11"/>
        <v/>
      </c>
      <c r="BF27" s="25" t="str">
        <f t="shared" ca="1" si="11"/>
        <v/>
      </c>
      <c r="BG27" s="25" t="str">
        <f t="shared" ca="1" si="11"/>
        <v/>
      </c>
      <c r="BH27" s="25" t="str">
        <f t="shared" ca="1" si="11"/>
        <v/>
      </c>
      <c r="BI27" s="25" t="str">
        <f t="shared" ca="1" si="11"/>
        <v/>
      </c>
      <c r="BJ27" s="25" t="str">
        <f t="shared" ca="1" si="11"/>
        <v/>
      </c>
      <c r="BK27" s="25" t="str">
        <f t="shared" ca="1" si="11"/>
        <v/>
      </c>
      <c r="BL27" s="25" t="str">
        <f t="shared" ca="1" si="11"/>
        <v/>
      </c>
    </row>
    <row r="28" spans="1:64" s="1" customFormat="1" ht="40.15" customHeight="1">
      <c r="A28" s="9"/>
      <c r="B28" s="61" t="s">
        <v>14</v>
      </c>
      <c r="C28" s="57" t="s">
        <v>22</v>
      </c>
      <c r="D28" s="57"/>
      <c r="E28" s="58"/>
      <c r="F28" s="59">
        <f ca="1">F16</f>
        <v>46076</v>
      </c>
      <c r="G28" s="60">
        <v>19</v>
      </c>
      <c r="H28" s="57"/>
      <c r="I28" s="25" t="str">
        <f t="shared" ca="1" si="9"/>
        <v/>
      </c>
      <c r="J28" s="25" t="str">
        <f t="shared" ca="1" si="9"/>
        <v/>
      </c>
      <c r="K28" s="25" t="str">
        <f t="shared" ca="1" si="9"/>
        <v/>
      </c>
      <c r="L28" s="25" t="str">
        <f t="shared" ca="1" si="9"/>
        <v/>
      </c>
      <c r="M28" s="25" t="str">
        <f t="shared" ca="1" si="9"/>
        <v/>
      </c>
      <c r="N28" s="25" t="str">
        <f t="shared" ca="1" si="9"/>
        <v/>
      </c>
      <c r="O28" s="25" t="str">
        <f t="shared" ca="1" si="9"/>
        <v/>
      </c>
      <c r="P28" s="25" t="str">
        <f t="shared" ca="1" si="9"/>
        <v/>
      </c>
      <c r="Q28" s="25" t="str">
        <f t="shared" ca="1" si="9"/>
        <v/>
      </c>
      <c r="R28" s="25" t="str">
        <f t="shared" ca="1" si="9"/>
        <v/>
      </c>
      <c r="S28" s="25" t="str">
        <f t="shared" ca="1" si="9"/>
        <v/>
      </c>
      <c r="T28" s="25" t="str">
        <f t="shared" ca="1" si="9"/>
        <v/>
      </c>
      <c r="U28" s="25" t="str">
        <f t="shared" ca="1" si="9"/>
        <v/>
      </c>
      <c r="V28" s="25" t="str">
        <f t="shared" ca="1" si="9"/>
        <v/>
      </c>
      <c r="W28" s="25" t="str">
        <f t="shared" ca="1" si="9"/>
        <v/>
      </c>
      <c r="X28" s="25" t="str">
        <f t="shared" ca="1" si="9"/>
        <v/>
      </c>
      <c r="Y28" s="25" t="str">
        <f t="shared" ca="1" si="12"/>
        <v/>
      </c>
      <c r="Z28" s="25" t="str">
        <f t="shared" ca="1" si="12"/>
        <v/>
      </c>
      <c r="AA28" s="25" t="str">
        <f t="shared" ca="1" si="12"/>
        <v/>
      </c>
      <c r="AB28" s="25" t="str">
        <f t="shared" ca="1" si="12"/>
        <v/>
      </c>
      <c r="AC28" s="25" t="str">
        <f t="shared" ca="1" si="12"/>
        <v/>
      </c>
      <c r="AD28" s="25" t="str">
        <f t="shared" ca="1" si="12"/>
        <v/>
      </c>
      <c r="AE28" s="25" t="str">
        <f t="shared" ca="1" si="12"/>
        <v/>
      </c>
      <c r="AF28" s="25" t="str">
        <f t="shared" ca="1" si="12"/>
        <v/>
      </c>
      <c r="AG28" s="25" t="str">
        <f t="shared" ca="1" si="12"/>
        <v/>
      </c>
      <c r="AH28" s="25" t="str">
        <f t="shared" ca="1" si="12"/>
        <v/>
      </c>
      <c r="AI28" s="25" t="str">
        <f t="shared" ca="1" si="12"/>
        <v/>
      </c>
      <c r="AJ28" s="25" t="str">
        <f t="shared" ca="1" si="12"/>
        <v/>
      </c>
      <c r="AK28" s="25" t="str">
        <f t="shared" ca="1" si="12"/>
        <v/>
      </c>
      <c r="AL28" s="25" t="str">
        <f t="shared" ca="1" si="12"/>
        <v/>
      </c>
      <c r="AM28" s="25" t="str">
        <f t="shared" ca="1" si="12"/>
        <v/>
      </c>
      <c r="AN28" s="25" t="str">
        <f t="shared" ca="1" si="10"/>
        <v/>
      </c>
      <c r="AO28" s="25" t="str">
        <f t="shared" ca="1" si="10"/>
        <v/>
      </c>
      <c r="AP28" s="25" t="str">
        <f t="shared" ca="1" si="10"/>
        <v/>
      </c>
      <c r="AQ28" s="25" t="str">
        <f t="shared" ca="1" si="10"/>
        <v/>
      </c>
      <c r="AR28" s="25" t="str">
        <f t="shared" ca="1" si="10"/>
        <v/>
      </c>
      <c r="AS28" s="25" t="str">
        <f t="shared" ca="1" si="10"/>
        <v/>
      </c>
      <c r="AT28" s="25" t="str">
        <f t="shared" ca="1" si="10"/>
        <v/>
      </c>
      <c r="AU28" s="25" t="str">
        <f t="shared" ca="1" si="10"/>
        <v/>
      </c>
      <c r="AV28" s="25" t="str">
        <f t="shared" ca="1" si="10"/>
        <v/>
      </c>
      <c r="AW28" s="25" t="str">
        <f t="shared" ca="1" si="10"/>
        <v/>
      </c>
      <c r="AX28" s="25" t="str">
        <f t="shared" ca="1" si="10"/>
        <v/>
      </c>
      <c r="AY28" s="25" t="str">
        <f t="shared" ca="1" si="10"/>
        <v/>
      </c>
      <c r="AZ28" s="25" t="str">
        <f t="shared" ca="1" si="10"/>
        <v/>
      </c>
      <c r="BA28" s="25" t="str">
        <f t="shared" ca="1" si="10"/>
        <v/>
      </c>
      <c r="BB28" s="25" t="str">
        <f t="shared" ca="1" si="10"/>
        <v/>
      </c>
      <c r="BC28" s="25" t="str">
        <f t="shared" ca="1" si="10"/>
        <v/>
      </c>
      <c r="BD28" s="25" t="str">
        <f t="shared" ca="1" si="11"/>
        <v/>
      </c>
      <c r="BE28" s="25" t="str">
        <f t="shared" ca="1" si="11"/>
        <v/>
      </c>
      <c r="BF28" s="25" t="str">
        <f t="shared" ca="1" si="11"/>
        <v/>
      </c>
      <c r="BG28" s="25" t="str">
        <f t="shared" ca="1" si="11"/>
        <v/>
      </c>
      <c r="BH28" s="25" t="str">
        <f t="shared" ca="1" si="11"/>
        <v/>
      </c>
      <c r="BI28" s="25" t="str">
        <f t="shared" ca="1" si="11"/>
        <v/>
      </c>
      <c r="BJ28" s="25" t="str">
        <f t="shared" ca="1" si="11"/>
        <v/>
      </c>
      <c r="BK28" s="25" t="str">
        <f t="shared" ca="1" si="11"/>
        <v/>
      </c>
      <c r="BL28" s="25" t="str">
        <f t="shared" ca="1" si="11"/>
        <v/>
      </c>
    </row>
    <row r="29" spans="1:64" s="1" customFormat="1" ht="40.15" customHeight="1">
      <c r="A29" s="9"/>
      <c r="B29" s="113" t="s">
        <v>17</v>
      </c>
      <c r="C29" s="57"/>
      <c r="D29" s="57"/>
      <c r="E29" s="58"/>
      <c r="F29" s="59"/>
      <c r="G29" s="60"/>
      <c r="H29" s="57"/>
      <c r="I29" s="25" t="str">
        <f t="shared" ref="I29:X35" ca="1" si="13">IF(AND($C29="Ziel",I$7&gt;=$F29,I$7&lt;=$F29+$G29-1),2,IF(AND($C29="Meilenstein",I$7&gt;=$F29,I$7&lt;=$F29+$G29-1),1,""))</f>
        <v/>
      </c>
      <c r="J29" s="25" t="str">
        <f t="shared" ca="1" si="13"/>
        <v/>
      </c>
      <c r="K29" s="25" t="str">
        <f t="shared" ca="1" si="13"/>
        <v/>
      </c>
      <c r="L29" s="25" t="str">
        <f t="shared" ca="1" si="13"/>
        <v/>
      </c>
      <c r="M29" s="25" t="str">
        <f t="shared" ca="1" si="13"/>
        <v/>
      </c>
      <c r="N29" s="25" t="str">
        <f t="shared" ca="1" si="13"/>
        <v/>
      </c>
      <c r="O29" s="25" t="str">
        <f t="shared" ca="1" si="13"/>
        <v/>
      </c>
      <c r="P29" s="25" t="str">
        <f t="shared" ca="1" si="13"/>
        <v/>
      </c>
      <c r="Q29" s="25" t="str">
        <f t="shared" ca="1" si="13"/>
        <v/>
      </c>
      <c r="R29" s="25" t="str">
        <f t="shared" ca="1" si="13"/>
        <v/>
      </c>
      <c r="S29" s="25" t="str">
        <f t="shared" ca="1" si="13"/>
        <v/>
      </c>
      <c r="T29" s="25" t="str">
        <f t="shared" ca="1" si="13"/>
        <v/>
      </c>
      <c r="U29" s="25" t="str">
        <f t="shared" ca="1" si="13"/>
        <v/>
      </c>
      <c r="V29" s="25" t="str">
        <f t="shared" ca="1" si="13"/>
        <v/>
      </c>
      <c r="W29" s="25" t="str">
        <f t="shared" ca="1" si="13"/>
        <v/>
      </c>
      <c r="X29" s="25" t="str">
        <f t="shared" ca="1" si="13"/>
        <v/>
      </c>
      <c r="Y29" s="25" t="str">
        <f t="shared" ca="1" si="12"/>
        <v/>
      </c>
      <c r="Z29" s="25" t="str">
        <f t="shared" ca="1" si="12"/>
        <v/>
      </c>
      <c r="AA29" s="25" t="str">
        <f t="shared" ca="1" si="12"/>
        <v/>
      </c>
      <c r="AB29" s="25" t="str">
        <f t="shared" ca="1" si="12"/>
        <v/>
      </c>
      <c r="AC29" s="25" t="str">
        <f t="shared" ca="1" si="12"/>
        <v/>
      </c>
      <c r="AD29" s="25" t="str">
        <f t="shared" ca="1" si="12"/>
        <v/>
      </c>
      <c r="AE29" s="25" t="str">
        <f t="shared" ca="1" si="12"/>
        <v/>
      </c>
      <c r="AF29" s="25" t="str">
        <f t="shared" ca="1" si="12"/>
        <v/>
      </c>
      <c r="AG29" s="25" t="str">
        <f t="shared" ca="1" si="12"/>
        <v/>
      </c>
      <c r="AH29" s="25" t="str">
        <f t="shared" ca="1" si="12"/>
        <v/>
      </c>
      <c r="AI29" s="25" t="str">
        <f t="shared" ca="1" si="12"/>
        <v/>
      </c>
      <c r="AJ29" s="25" t="str">
        <f t="shared" ca="1" si="12"/>
        <v/>
      </c>
      <c r="AK29" s="25" t="str">
        <f t="shared" ca="1" si="12"/>
        <v/>
      </c>
      <c r="AL29" s="25" t="str">
        <f t="shared" ca="1" si="12"/>
        <v/>
      </c>
      <c r="AM29" s="25" t="str">
        <f t="shared" ca="1" si="12"/>
        <v/>
      </c>
      <c r="AN29" s="25" t="str">
        <f t="shared" ca="1" si="10"/>
        <v/>
      </c>
      <c r="AO29" s="25" t="str">
        <f t="shared" ca="1" si="10"/>
        <v/>
      </c>
      <c r="AP29" s="25" t="str">
        <f t="shared" ca="1" si="10"/>
        <v/>
      </c>
      <c r="AQ29" s="25" t="str">
        <f t="shared" ca="1" si="10"/>
        <v/>
      </c>
      <c r="AR29" s="25" t="str">
        <f t="shared" ca="1" si="10"/>
        <v/>
      </c>
      <c r="AS29" s="25" t="str">
        <f t="shared" ca="1" si="10"/>
        <v/>
      </c>
      <c r="AT29" s="25" t="str">
        <f t="shared" ca="1" si="10"/>
        <v/>
      </c>
      <c r="AU29" s="25" t="str">
        <f t="shared" ca="1" si="10"/>
        <v/>
      </c>
      <c r="AV29" s="25" t="str">
        <f t="shared" ca="1" si="10"/>
        <v/>
      </c>
      <c r="AW29" s="25" t="str">
        <f t="shared" ca="1" si="10"/>
        <v/>
      </c>
      <c r="AX29" s="25" t="str">
        <f t="shared" ca="1" si="10"/>
        <v/>
      </c>
      <c r="AY29" s="25" t="str">
        <f t="shared" ca="1" si="10"/>
        <v/>
      </c>
      <c r="AZ29" s="25" t="str">
        <f t="shared" ca="1" si="10"/>
        <v/>
      </c>
      <c r="BA29" s="25" t="str">
        <f t="shared" ca="1" si="10"/>
        <v/>
      </c>
      <c r="BB29" s="25" t="str">
        <f t="shared" ca="1" si="10"/>
        <v/>
      </c>
      <c r="BC29" s="25" t="str">
        <f t="shared" ca="1" si="10"/>
        <v/>
      </c>
      <c r="BD29" s="25" t="str">
        <f t="shared" ca="1" si="11"/>
        <v/>
      </c>
      <c r="BE29" s="25" t="str">
        <f t="shared" ca="1" si="11"/>
        <v/>
      </c>
      <c r="BF29" s="25" t="str">
        <f t="shared" ca="1" si="11"/>
        <v/>
      </c>
      <c r="BG29" s="25" t="str">
        <f t="shared" ca="1" si="11"/>
        <v/>
      </c>
      <c r="BH29" s="25" t="str">
        <f t="shared" ca="1" si="11"/>
        <v/>
      </c>
      <c r="BI29" s="25" t="str">
        <f t="shared" ca="1" si="11"/>
        <v/>
      </c>
      <c r="BJ29" s="25" t="str">
        <f t="shared" ca="1" si="11"/>
        <v/>
      </c>
      <c r="BK29" s="25" t="str">
        <f t="shared" ca="1" si="11"/>
        <v/>
      </c>
      <c r="BL29" s="25" t="str">
        <f t="shared" ca="1" si="11"/>
        <v/>
      </c>
    </row>
    <row r="30" spans="1:64" s="1" customFormat="1" ht="40.15" customHeight="1">
      <c r="A30" s="9"/>
      <c r="B30" s="61" t="s">
        <v>10</v>
      </c>
      <c r="C30" s="57"/>
      <c r="D30" s="57"/>
      <c r="E30" s="58"/>
      <c r="F30" s="59">
        <f ca="1">F27+3</f>
        <v>46110</v>
      </c>
      <c r="G30" s="60">
        <v>15</v>
      </c>
      <c r="H30" s="57"/>
      <c r="I30" s="25" t="str">
        <f t="shared" ca="1" si="13"/>
        <v/>
      </c>
      <c r="J30" s="25" t="str">
        <f t="shared" ca="1" si="13"/>
        <v/>
      </c>
      <c r="K30" s="25" t="str">
        <f t="shared" ca="1" si="13"/>
        <v/>
      </c>
      <c r="L30" s="25" t="str">
        <f t="shared" ca="1" si="13"/>
        <v/>
      </c>
      <c r="M30" s="25" t="str">
        <f t="shared" ca="1" si="13"/>
        <v/>
      </c>
      <c r="N30" s="25" t="str">
        <f t="shared" ca="1" si="13"/>
        <v/>
      </c>
      <c r="O30" s="25" t="str">
        <f t="shared" ca="1" si="13"/>
        <v/>
      </c>
      <c r="P30" s="25" t="str">
        <f t="shared" ca="1" si="13"/>
        <v/>
      </c>
      <c r="Q30" s="25" t="str">
        <f t="shared" ca="1" si="13"/>
        <v/>
      </c>
      <c r="R30" s="25" t="str">
        <f t="shared" ca="1" si="13"/>
        <v/>
      </c>
      <c r="S30" s="25" t="str">
        <f t="shared" ca="1" si="13"/>
        <v/>
      </c>
      <c r="T30" s="25" t="str">
        <f t="shared" ca="1" si="13"/>
        <v/>
      </c>
      <c r="U30" s="25" t="str">
        <f t="shared" ca="1" si="13"/>
        <v/>
      </c>
      <c r="V30" s="25" t="str">
        <f t="shared" ca="1" si="13"/>
        <v/>
      </c>
      <c r="W30" s="25" t="str">
        <f t="shared" ca="1" si="13"/>
        <v/>
      </c>
      <c r="X30" s="25" t="str">
        <f t="shared" ca="1" si="13"/>
        <v/>
      </c>
      <c r="Y30" s="25" t="str">
        <f t="shared" ca="1" si="12"/>
        <v/>
      </c>
      <c r="Z30" s="25" t="str">
        <f t="shared" ca="1" si="12"/>
        <v/>
      </c>
      <c r="AA30" s="25" t="str">
        <f t="shared" ca="1" si="12"/>
        <v/>
      </c>
      <c r="AB30" s="25" t="str">
        <f t="shared" ca="1" si="12"/>
        <v/>
      </c>
      <c r="AC30" s="25" t="str">
        <f t="shared" ca="1" si="12"/>
        <v/>
      </c>
      <c r="AD30" s="25" t="str">
        <f t="shared" ca="1" si="12"/>
        <v/>
      </c>
      <c r="AE30" s="25" t="str">
        <f t="shared" ca="1" si="12"/>
        <v/>
      </c>
      <c r="AF30" s="25" t="str">
        <f t="shared" ca="1" si="12"/>
        <v/>
      </c>
      <c r="AG30" s="25" t="str">
        <f t="shared" ca="1" si="12"/>
        <v/>
      </c>
      <c r="AH30" s="25" t="str">
        <f t="shared" ca="1" si="12"/>
        <v/>
      </c>
      <c r="AI30" s="25" t="str">
        <f t="shared" ca="1" si="12"/>
        <v/>
      </c>
      <c r="AJ30" s="25" t="str">
        <f t="shared" ca="1" si="12"/>
        <v/>
      </c>
      <c r="AK30" s="25" t="str">
        <f t="shared" ca="1" si="12"/>
        <v/>
      </c>
      <c r="AL30" s="25" t="str">
        <f t="shared" ca="1" si="12"/>
        <v/>
      </c>
      <c r="AM30" s="25" t="str">
        <f t="shared" ca="1" si="12"/>
        <v/>
      </c>
      <c r="AN30" s="25" t="str">
        <f t="shared" ca="1" si="10"/>
        <v/>
      </c>
      <c r="AO30" s="25" t="str">
        <f t="shared" ca="1" si="10"/>
        <v/>
      </c>
      <c r="AP30" s="25" t="str">
        <f t="shared" ca="1" si="10"/>
        <v/>
      </c>
      <c r="AQ30" s="25" t="str">
        <f t="shared" ca="1" si="10"/>
        <v/>
      </c>
      <c r="AR30" s="25" t="str">
        <f t="shared" ca="1" si="10"/>
        <v/>
      </c>
      <c r="AS30" s="25" t="str">
        <f t="shared" ca="1" si="10"/>
        <v/>
      </c>
      <c r="AT30" s="25" t="str">
        <f t="shared" ca="1" si="10"/>
        <v/>
      </c>
      <c r="AU30" s="25" t="str">
        <f t="shared" ca="1" si="10"/>
        <v/>
      </c>
      <c r="AV30" s="25" t="str">
        <f t="shared" ca="1" si="10"/>
        <v/>
      </c>
      <c r="AW30" s="25" t="str">
        <f t="shared" ca="1" si="10"/>
        <v/>
      </c>
      <c r="AX30" s="25" t="str">
        <f t="shared" ca="1" si="10"/>
        <v/>
      </c>
      <c r="AY30" s="25" t="str">
        <f t="shared" ca="1" si="10"/>
        <v/>
      </c>
      <c r="AZ30" s="25" t="str">
        <f t="shared" ca="1" si="10"/>
        <v/>
      </c>
      <c r="BA30" s="25" t="str">
        <f t="shared" ca="1" si="10"/>
        <v/>
      </c>
      <c r="BB30" s="25" t="str">
        <f t="shared" ca="1" si="10"/>
        <v/>
      </c>
      <c r="BC30" s="25" t="str">
        <f t="shared" ca="1" si="10"/>
        <v/>
      </c>
      <c r="BD30" s="25" t="str">
        <f t="shared" ca="1" si="11"/>
        <v/>
      </c>
      <c r="BE30" s="25" t="str">
        <f t="shared" ca="1" si="11"/>
        <v/>
      </c>
      <c r="BF30" s="25" t="str">
        <f t="shared" ca="1" si="11"/>
        <v/>
      </c>
      <c r="BG30" s="25" t="str">
        <f t="shared" ca="1" si="11"/>
        <v/>
      </c>
      <c r="BH30" s="25" t="str">
        <f t="shared" ca="1" si="11"/>
        <v/>
      </c>
      <c r="BI30" s="25" t="str">
        <f t="shared" ca="1" si="11"/>
        <v/>
      </c>
      <c r="BJ30" s="25" t="str">
        <f t="shared" ca="1" si="11"/>
        <v/>
      </c>
      <c r="BK30" s="25" t="str">
        <f t="shared" ca="1" si="11"/>
        <v/>
      </c>
      <c r="BL30" s="25" t="str">
        <f t="shared" ca="1" si="11"/>
        <v/>
      </c>
    </row>
    <row r="31" spans="1:64" s="1" customFormat="1" ht="40.15" customHeight="1">
      <c r="A31" s="9"/>
      <c r="B31" s="61" t="s">
        <v>11</v>
      </c>
      <c r="C31" s="57"/>
      <c r="D31" s="57"/>
      <c r="E31" s="58"/>
      <c r="F31" s="59">
        <f ca="1">F30+14</f>
        <v>46124</v>
      </c>
      <c r="G31" s="60">
        <v>5</v>
      </c>
      <c r="H31" s="57"/>
      <c r="I31" s="25" t="str">
        <f t="shared" ca="1" si="13"/>
        <v/>
      </c>
      <c r="J31" s="25" t="str">
        <f t="shared" ca="1" si="13"/>
        <v/>
      </c>
      <c r="K31" s="25" t="str">
        <f t="shared" ca="1" si="13"/>
        <v/>
      </c>
      <c r="L31" s="25" t="str">
        <f t="shared" ca="1" si="13"/>
        <v/>
      </c>
      <c r="M31" s="25" t="str">
        <f t="shared" ca="1" si="13"/>
        <v/>
      </c>
      <c r="N31" s="25" t="str">
        <f t="shared" ca="1" si="13"/>
        <v/>
      </c>
      <c r="O31" s="25" t="str">
        <f t="shared" ca="1" si="13"/>
        <v/>
      </c>
      <c r="P31" s="25" t="str">
        <f t="shared" ca="1" si="13"/>
        <v/>
      </c>
      <c r="Q31" s="25" t="str">
        <f t="shared" ca="1" si="13"/>
        <v/>
      </c>
      <c r="R31" s="25" t="str">
        <f t="shared" ca="1" si="13"/>
        <v/>
      </c>
      <c r="S31" s="25" t="str">
        <f t="shared" ca="1" si="13"/>
        <v/>
      </c>
      <c r="T31" s="25" t="str">
        <f t="shared" ca="1" si="13"/>
        <v/>
      </c>
      <c r="U31" s="25" t="str">
        <f t="shared" ca="1" si="13"/>
        <v/>
      </c>
      <c r="V31" s="25" t="str">
        <f t="shared" ca="1" si="13"/>
        <v/>
      </c>
      <c r="W31" s="25" t="str">
        <f t="shared" ca="1" si="13"/>
        <v/>
      </c>
      <c r="X31" s="25" t="str">
        <f t="shared" ca="1" si="13"/>
        <v/>
      </c>
      <c r="Y31" s="25" t="str">
        <f t="shared" ca="1" si="12"/>
        <v/>
      </c>
      <c r="Z31" s="25" t="str">
        <f t="shared" ca="1" si="12"/>
        <v/>
      </c>
      <c r="AA31" s="25" t="str">
        <f t="shared" ca="1" si="12"/>
        <v/>
      </c>
      <c r="AB31" s="25" t="str">
        <f t="shared" ca="1" si="12"/>
        <v/>
      </c>
      <c r="AC31" s="25" t="str">
        <f t="shared" ca="1" si="12"/>
        <v/>
      </c>
      <c r="AD31" s="25" t="str">
        <f t="shared" ca="1" si="12"/>
        <v/>
      </c>
      <c r="AE31" s="25" t="str">
        <f t="shared" ca="1" si="12"/>
        <v/>
      </c>
      <c r="AF31" s="25" t="str">
        <f t="shared" ca="1" si="12"/>
        <v/>
      </c>
      <c r="AG31" s="25" t="str">
        <f t="shared" ca="1" si="12"/>
        <v/>
      </c>
      <c r="AH31" s="25" t="str">
        <f t="shared" ca="1" si="12"/>
        <v/>
      </c>
      <c r="AI31" s="25" t="str">
        <f t="shared" ca="1" si="12"/>
        <v/>
      </c>
      <c r="AJ31" s="25" t="str">
        <f t="shared" ca="1" si="12"/>
        <v/>
      </c>
      <c r="AK31" s="25" t="str">
        <f t="shared" ca="1" si="12"/>
        <v/>
      </c>
      <c r="AL31" s="25" t="str">
        <f t="shared" ca="1" si="12"/>
        <v/>
      </c>
      <c r="AM31" s="25" t="str">
        <f t="shared" ca="1" si="12"/>
        <v/>
      </c>
      <c r="AN31" s="25" t="str">
        <f t="shared" ca="1" si="10"/>
        <v/>
      </c>
      <c r="AO31" s="25" t="str">
        <f t="shared" ca="1" si="10"/>
        <v/>
      </c>
      <c r="AP31" s="25" t="str">
        <f t="shared" ca="1" si="10"/>
        <v/>
      </c>
      <c r="AQ31" s="25" t="str">
        <f t="shared" ca="1" si="10"/>
        <v/>
      </c>
      <c r="AR31" s="25" t="str">
        <f t="shared" ca="1" si="10"/>
        <v/>
      </c>
      <c r="AS31" s="25" t="str">
        <f t="shared" ca="1" si="10"/>
        <v/>
      </c>
      <c r="AT31" s="25" t="str">
        <f t="shared" ca="1" si="10"/>
        <v/>
      </c>
      <c r="AU31" s="25" t="str">
        <f t="shared" ca="1" si="10"/>
        <v/>
      </c>
      <c r="AV31" s="25" t="str">
        <f t="shared" ca="1" si="10"/>
        <v/>
      </c>
      <c r="AW31" s="25" t="str">
        <f t="shared" ca="1" si="10"/>
        <v/>
      </c>
      <c r="AX31" s="25" t="str">
        <f t="shared" ca="1" si="10"/>
        <v/>
      </c>
      <c r="AY31" s="25" t="str">
        <f t="shared" ca="1" si="10"/>
        <v/>
      </c>
      <c r="AZ31" s="25" t="str">
        <f t="shared" ca="1" si="10"/>
        <v/>
      </c>
      <c r="BA31" s="25" t="str">
        <f t="shared" ca="1" si="10"/>
        <v/>
      </c>
      <c r="BB31" s="25" t="str">
        <f t="shared" ca="1" si="10"/>
        <v/>
      </c>
      <c r="BC31" s="25" t="str">
        <f t="shared" ca="1" si="10"/>
        <v/>
      </c>
      <c r="BD31" s="25" t="str">
        <f t="shared" ca="1" si="11"/>
        <v/>
      </c>
      <c r="BE31" s="25" t="str">
        <f t="shared" ca="1" si="11"/>
        <v/>
      </c>
      <c r="BF31" s="25" t="str">
        <f t="shared" ca="1" si="11"/>
        <v/>
      </c>
      <c r="BG31" s="25" t="str">
        <f t="shared" ca="1" si="11"/>
        <v/>
      </c>
      <c r="BH31" s="25" t="str">
        <f t="shared" ca="1" si="11"/>
        <v/>
      </c>
      <c r="BI31" s="25" t="str">
        <f t="shared" ca="1" si="11"/>
        <v/>
      </c>
      <c r="BJ31" s="25" t="str">
        <f t="shared" ca="1" si="11"/>
        <v/>
      </c>
      <c r="BK31" s="25" t="str">
        <f t="shared" ca="1" si="11"/>
        <v/>
      </c>
      <c r="BL31" s="25" t="str">
        <f t="shared" ca="1" si="11"/>
        <v/>
      </c>
    </row>
    <row r="32" spans="1:64" s="1" customFormat="1" ht="40.15" customHeight="1">
      <c r="A32" s="9"/>
      <c r="B32" s="61" t="s">
        <v>12</v>
      </c>
      <c r="C32" s="57" t="s">
        <v>21</v>
      </c>
      <c r="D32" s="57"/>
      <c r="E32" s="58"/>
      <c r="F32" s="59">
        <f ca="1">F31+42</f>
        <v>46166</v>
      </c>
      <c r="G32" s="60">
        <v>1</v>
      </c>
      <c r="H32" s="57"/>
      <c r="I32" s="25" t="str">
        <f t="shared" ca="1" si="13"/>
        <v/>
      </c>
      <c r="J32" s="25" t="str">
        <f t="shared" ca="1" si="13"/>
        <v/>
      </c>
      <c r="K32" s="25" t="str">
        <f t="shared" ca="1" si="13"/>
        <v/>
      </c>
      <c r="L32" s="25" t="str">
        <f t="shared" ca="1" si="13"/>
        <v/>
      </c>
      <c r="M32" s="25" t="str">
        <f t="shared" ca="1" si="13"/>
        <v/>
      </c>
      <c r="N32" s="25" t="str">
        <f t="shared" ca="1" si="13"/>
        <v/>
      </c>
      <c r="O32" s="25" t="str">
        <f t="shared" ca="1" si="13"/>
        <v/>
      </c>
      <c r="P32" s="25" t="str">
        <f t="shared" ca="1" si="13"/>
        <v/>
      </c>
      <c r="Q32" s="25" t="str">
        <f t="shared" ca="1" si="13"/>
        <v/>
      </c>
      <c r="R32" s="25" t="str">
        <f t="shared" ca="1" si="13"/>
        <v/>
      </c>
      <c r="S32" s="25" t="str">
        <f t="shared" ca="1" si="13"/>
        <v/>
      </c>
      <c r="T32" s="25" t="str">
        <f t="shared" ca="1" si="13"/>
        <v/>
      </c>
      <c r="U32" s="25" t="str">
        <f t="shared" ca="1" si="13"/>
        <v/>
      </c>
      <c r="V32" s="25" t="str">
        <f t="shared" ca="1" si="13"/>
        <v/>
      </c>
      <c r="W32" s="25" t="str">
        <f t="shared" ca="1" si="13"/>
        <v/>
      </c>
      <c r="X32" s="25" t="str">
        <f t="shared" ca="1" si="13"/>
        <v/>
      </c>
      <c r="Y32" s="25" t="str">
        <f t="shared" ca="1" si="12"/>
        <v/>
      </c>
      <c r="Z32" s="25" t="str">
        <f t="shared" ca="1" si="12"/>
        <v/>
      </c>
      <c r="AA32" s="25" t="str">
        <f t="shared" ca="1" si="12"/>
        <v/>
      </c>
      <c r="AB32" s="25" t="str">
        <f t="shared" ca="1" si="12"/>
        <v/>
      </c>
      <c r="AC32" s="25" t="str">
        <f t="shared" ca="1" si="12"/>
        <v/>
      </c>
      <c r="AD32" s="25" t="str">
        <f t="shared" ca="1" si="12"/>
        <v/>
      </c>
      <c r="AE32" s="25" t="str">
        <f t="shared" ca="1" si="12"/>
        <v/>
      </c>
      <c r="AF32" s="25" t="str">
        <f t="shared" ca="1" si="12"/>
        <v/>
      </c>
      <c r="AG32" s="25" t="str">
        <f t="shared" ca="1" si="12"/>
        <v/>
      </c>
      <c r="AH32" s="25" t="str">
        <f t="shared" ca="1" si="12"/>
        <v/>
      </c>
      <c r="AI32" s="25" t="str">
        <f t="shared" ca="1" si="12"/>
        <v/>
      </c>
      <c r="AJ32" s="25" t="str">
        <f t="shared" ca="1" si="12"/>
        <v/>
      </c>
      <c r="AK32" s="25" t="str">
        <f t="shared" ca="1" si="12"/>
        <v/>
      </c>
      <c r="AL32" s="25" t="str">
        <f t="shared" ca="1" si="12"/>
        <v/>
      </c>
      <c r="AM32" s="25" t="str">
        <f t="shared" ca="1" si="12"/>
        <v/>
      </c>
      <c r="AN32" s="25" t="str">
        <f t="shared" ca="1" si="10"/>
        <v/>
      </c>
      <c r="AO32" s="25" t="str">
        <f t="shared" ca="1" si="10"/>
        <v/>
      </c>
      <c r="AP32" s="25" t="str">
        <f t="shared" ca="1" si="10"/>
        <v/>
      </c>
      <c r="AQ32" s="25" t="str">
        <f t="shared" ca="1" si="10"/>
        <v/>
      </c>
      <c r="AR32" s="25" t="str">
        <f t="shared" ca="1" si="10"/>
        <v/>
      </c>
      <c r="AS32" s="25" t="str">
        <f t="shared" ca="1" si="10"/>
        <v/>
      </c>
      <c r="AT32" s="25" t="str">
        <f t="shared" ca="1" si="10"/>
        <v/>
      </c>
      <c r="AU32" s="25" t="str">
        <f t="shared" ca="1" si="10"/>
        <v/>
      </c>
      <c r="AV32" s="25" t="str">
        <f t="shared" ca="1" si="10"/>
        <v/>
      </c>
      <c r="AW32" s="25" t="str">
        <f t="shared" ca="1" si="10"/>
        <v/>
      </c>
      <c r="AX32" s="25" t="str">
        <f t="shared" ca="1" si="10"/>
        <v/>
      </c>
      <c r="AY32" s="25" t="str">
        <f t="shared" ca="1" si="10"/>
        <v/>
      </c>
      <c r="AZ32" s="25" t="str">
        <f t="shared" ca="1" si="10"/>
        <v/>
      </c>
      <c r="BA32" s="25" t="str">
        <f t="shared" ca="1" si="10"/>
        <v/>
      </c>
      <c r="BB32" s="25" t="str">
        <f t="shared" ca="1" si="10"/>
        <v/>
      </c>
      <c r="BC32" s="25" t="str">
        <f t="shared" ca="1" si="10"/>
        <v/>
      </c>
      <c r="BD32" s="25" t="str">
        <f t="shared" ca="1" si="11"/>
        <v/>
      </c>
      <c r="BE32" s="25" t="str">
        <f t="shared" ca="1" si="11"/>
        <v/>
      </c>
      <c r="BF32" s="25" t="str">
        <f t="shared" ca="1" si="11"/>
        <v/>
      </c>
      <c r="BG32" s="25" t="str">
        <f t="shared" ca="1" si="11"/>
        <v/>
      </c>
      <c r="BH32" s="25" t="str">
        <f t="shared" ca="1" si="11"/>
        <v/>
      </c>
      <c r="BI32" s="25" t="str">
        <f t="shared" ca="1" si="11"/>
        <v/>
      </c>
      <c r="BJ32" s="25" t="str">
        <f t="shared" ca="1" si="11"/>
        <v/>
      </c>
      <c r="BK32" s="25" t="str">
        <f t="shared" ca="1" si="11"/>
        <v/>
      </c>
      <c r="BL32" s="25" t="str">
        <f t="shared" ca="1" si="11"/>
        <v/>
      </c>
    </row>
    <row r="33" spans="1:65" s="1" customFormat="1" ht="40.15" customHeight="1">
      <c r="A33" s="9"/>
      <c r="B33" s="61" t="s">
        <v>13</v>
      </c>
      <c r="C33" s="57"/>
      <c r="D33" s="57"/>
      <c r="E33" s="58"/>
      <c r="F33" s="59"/>
      <c r="G33" s="60"/>
      <c r="H33" s="57"/>
      <c r="I33" s="25" t="str">
        <f t="shared" ca="1" si="13"/>
        <v/>
      </c>
      <c r="J33" s="25" t="str">
        <f t="shared" ca="1" si="13"/>
        <v/>
      </c>
      <c r="K33" s="25" t="str">
        <f t="shared" ca="1" si="13"/>
        <v/>
      </c>
      <c r="L33" s="25" t="str">
        <f t="shared" ca="1" si="13"/>
        <v/>
      </c>
      <c r="M33" s="25" t="str">
        <f t="shared" ca="1" si="13"/>
        <v/>
      </c>
      <c r="N33" s="25" t="str">
        <f t="shared" ca="1" si="13"/>
        <v/>
      </c>
      <c r="O33" s="25" t="str">
        <f t="shared" ca="1" si="13"/>
        <v/>
      </c>
      <c r="P33" s="25" t="str">
        <f t="shared" ca="1" si="13"/>
        <v/>
      </c>
      <c r="Q33" s="25" t="str">
        <f t="shared" ca="1" si="13"/>
        <v/>
      </c>
      <c r="R33" s="25" t="str">
        <f t="shared" ca="1" si="13"/>
        <v/>
      </c>
      <c r="S33" s="25" t="str">
        <f t="shared" ca="1" si="13"/>
        <v/>
      </c>
      <c r="T33" s="25" t="str">
        <f t="shared" ca="1" si="13"/>
        <v/>
      </c>
      <c r="U33" s="25" t="str">
        <f t="shared" ca="1" si="13"/>
        <v/>
      </c>
      <c r="V33" s="25" t="str">
        <f t="shared" ca="1" si="13"/>
        <v/>
      </c>
      <c r="W33" s="25" t="str">
        <f t="shared" ca="1" si="13"/>
        <v/>
      </c>
      <c r="X33" s="25" t="str">
        <f t="shared" ca="1" si="13"/>
        <v/>
      </c>
      <c r="Y33" s="25" t="str">
        <f t="shared" ca="1" si="12"/>
        <v/>
      </c>
      <c r="Z33" s="25" t="str">
        <f t="shared" ca="1" si="12"/>
        <v/>
      </c>
      <c r="AA33" s="25" t="str">
        <f t="shared" ca="1" si="12"/>
        <v/>
      </c>
      <c r="AB33" s="25" t="str">
        <f t="shared" ca="1" si="12"/>
        <v/>
      </c>
      <c r="AC33" s="25" t="str">
        <f t="shared" ca="1" si="12"/>
        <v/>
      </c>
      <c r="AD33" s="25" t="str">
        <f t="shared" ca="1" si="12"/>
        <v/>
      </c>
      <c r="AE33" s="25" t="str">
        <f t="shared" ca="1" si="12"/>
        <v/>
      </c>
      <c r="AF33" s="25" t="str">
        <f t="shared" ca="1" si="12"/>
        <v/>
      </c>
      <c r="AG33" s="25" t="str">
        <f t="shared" ca="1" si="12"/>
        <v/>
      </c>
      <c r="AH33" s="25" t="str">
        <f t="shared" ca="1" si="12"/>
        <v/>
      </c>
      <c r="AI33" s="25" t="str">
        <f t="shared" ca="1" si="12"/>
        <v/>
      </c>
      <c r="AJ33" s="25" t="str">
        <f t="shared" ca="1" si="12"/>
        <v/>
      </c>
      <c r="AK33" s="25" t="str">
        <f t="shared" ca="1" si="12"/>
        <v/>
      </c>
      <c r="AL33" s="25" t="str">
        <f t="shared" ca="1" si="12"/>
        <v/>
      </c>
      <c r="AM33" s="25" t="str">
        <f t="shared" ca="1" si="12"/>
        <v/>
      </c>
      <c r="AN33" s="25" t="str">
        <f t="shared" ca="1" si="10"/>
        <v/>
      </c>
      <c r="AO33" s="25" t="str">
        <f t="shared" ca="1" si="10"/>
        <v/>
      </c>
      <c r="AP33" s="25" t="str">
        <f t="shared" ca="1" si="10"/>
        <v/>
      </c>
      <c r="AQ33" s="25" t="str">
        <f t="shared" ca="1" si="10"/>
        <v/>
      </c>
      <c r="AR33" s="25" t="str">
        <f t="shared" ca="1" si="10"/>
        <v/>
      </c>
      <c r="AS33" s="25" t="str">
        <f t="shared" ca="1" si="10"/>
        <v/>
      </c>
      <c r="AT33" s="25" t="str">
        <f t="shared" ca="1" si="10"/>
        <v/>
      </c>
      <c r="AU33" s="25" t="str">
        <f t="shared" ca="1" si="10"/>
        <v/>
      </c>
      <c r="AV33" s="25" t="str">
        <f t="shared" ca="1" si="10"/>
        <v/>
      </c>
      <c r="AW33" s="25" t="str">
        <f t="shared" ca="1" si="10"/>
        <v/>
      </c>
      <c r="AX33" s="25" t="str">
        <f t="shared" ca="1" si="10"/>
        <v/>
      </c>
      <c r="AY33" s="25" t="str">
        <f t="shared" ca="1" si="10"/>
        <v/>
      </c>
      <c r="AZ33" s="25" t="str">
        <f t="shared" ca="1" si="10"/>
        <v/>
      </c>
      <c r="BA33" s="25" t="str">
        <f t="shared" ca="1" si="10"/>
        <v/>
      </c>
      <c r="BB33" s="25" t="str">
        <f t="shared" ca="1" si="10"/>
        <v/>
      </c>
      <c r="BC33" s="25" t="str">
        <f t="shared" ca="1" si="10"/>
        <v/>
      </c>
      <c r="BD33" s="25" t="str">
        <f t="shared" ca="1" si="11"/>
        <v/>
      </c>
      <c r="BE33" s="25" t="str">
        <f t="shared" ca="1" si="11"/>
        <v/>
      </c>
      <c r="BF33" s="25" t="str">
        <f t="shared" ca="1" si="11"/>
        <v/>
      </c>
      <c r="BG33" s="25" t="str">
        <f t="shared" ca="1" si="11"/>
        <v/>
      </c>
      <c r="BH33" s="25" t="str">
        <f t="shared" ca="1" si="11"/>
        <v/>
      </c>
      <c r="BI33" s="25" t="str">
        <f t="shared" ca="1" si="11"/>
        <v/>
      </c>
      <c r="BJ33" s="25" t="str">
        <f t="shared" ca="1" si="11"/>
        <v/>
      </c>
      <c r="BK33" s="25" t="str">
        <f t="shared" ca="1" si="11"/>
        <v/>
      </c>
      <c r="BL33" s="25" t="str">
        <f t="shared" ca="1" si="11"/>
        <v/>
      </c>
    </row>
    <row r="34" spans="1:65" s="1" customFormat="1" ht="40.15" customHeight="1">
      <c r="A34" s="9"/>
      <c r="B34" s="61" t="s">
        <v>14</v>
      </c>
      <c r="C34" s="57"/>
      <c r="D34" s="57"/>
      <c r="E34" s="58"/>
      <c r="F34" s="59"/>
      <c r="G34" s="60"/>
      <c r="H34" s="57"/>
      <c r="I34" s="25" t="str">
        <f t="shared" ca="1" si="13"/>
        <v/>
      </c>
      <c r="J34" s="25" t="str">
        <f t="shared" ca="1" si="13"/>
        <v/>
      </c>
      <c r="K34" s="25" t="str">
        <f t="shared" ca="1" si="13"/>
        <v/>
      </c>
      <c r="L34" s="25" t="str">
        <f t="shared" ca="1" si="13"/>
        <v/>
      </c>
      <c r="M34" s="25" t="str">
        <f t="shared" ca="1" si="13"/>
        <v/>
      </c>
      <c r="N34" s="25" t="str">
        <f t="shared" ca="1" si="13"/>
        <v/>
      </c>
      <c r="O34" s="25" t="str">
        <f t="shared" ca="1" si="13"/>
        <v/>
      </c>
      <c r="P34" s="25" t="str">
        <f t="shared" ca="1" si="13"/>
        <v/>
      </c>
      <c r="Q34" s="25" t="str">
        <f t="shared" ca="1" si="13"/>
        <v/>
      </c>
      <c r="R34" s="25" t="str">
        <f t="shared" ca="1" si="13"/>
        <v/>
      </c>
      <c r="S34" s="25" t="str">
        <f t="shared" ca="1" si="13"/>
        <v/>
      </c>
      <c r="T34" s="25" t="str">
        <f t="shared" ca="1" si="13"/>
        <v/>
      </c>
      <c r="U34" s="25" t="str">
        <f t="shared" ca="1" si="13"/>
        <v/>
      </c>
      <c r="V34" s="25" t="str">
        <f t="shared" ca="1" si="13"/>
        <v/>
      </c>
      <c r="W34" s="25" t="str">
        <f t="shared" ca="1" si="13"/>
        <v/>
      </c>
      <c r="X34" s="25" t="str">
        <f t="shared" ca="1" si="13"/>
        <v/>
      </c>
      <c r="Y34" s="25" t="str">
        <f t="shared" ca="1" si="12"/>
        <v/>
      </c>
      <c r="Z34" s="25" t="str">
        <f t="shared" ca="1" si="12"/>
        <v/>
      </c>
      <c r="AA34" s="25" t="str">
        <f t="shared" ca="1" si="12"/>
        <v/>
      </c>
      <c r="AB34" s="25" t="str">
        <f t="shared" ca="1" si="12"/>
        <v/>
      </c>
      <c r="AC34" s="25" t="str">
        <f t="shared" ca="1" si="12"/>
        <v/>
      </c>
      <c r="AD34" s="25" t="str">
        <f t="shared" ca="1" si="12"/>
        <v/>
      </c>
      <c r="AE34" s="25" t="str">
        <f t="shared" ca="1" si="12"/>
        <v/>
      </c>
      <c r="AF34" s="25" t="str">
        <f t="shared" ca="1" si="12"/>
        <v/>
      </c>
      <c r="AG34" s="25" t="str">
        <f t="shared" ca="1" si="12"/>
        <v/>
      </c>
      <c r="AH34" s="25" t="str">
        <f t="shared" ca="1" si="12"/>
        <v/>
      </c>
      <c r="AI34" s="25" t="str">
        <f t="shared" ca="1" si="12"/>
        <v/>
      </c>
      <c r="AJ34" s="25" t="str">
        <f t="shared" ca="1" si="12"/>
        <v/>
      </c>
      <c r="AK34" s="25" t="str">
        <f t="shared" ca="1" si="12"/>
        <v/>
      </c>
      <c r="AL34" s="25" t="str">
        <f t="shared" ca="1" si="12"/>
        <v/>
      </c>
      <c r="AM34" s="25" t="str">
        <f t="shared" ca="1" si="12"/>
        <v/>
      </c>
      <c r="AN34" s="25" t="str">
        <f t="shared" ca="1" si="10"/>
        <v/>
      </c>
      <c r="AO34" s="25" t="str">
        <f t="shared" ca="1" si="10"/>
        <v/>
      </c>
      <c r="AP34" s="25" t="str">
        <f t="shared" ca="1" si="10"/>
        <v/>
      </c>
      <c r="AQ34" s="25" t="str">
        <f t="shared" ca="1" si="10"/>
        <v/>
      </c>
      <c r="AR34" s="25" t="str">
        <f t="shared" ca="1" si="10"/>
        <v/>
      </c>
      <c r="AS34" s="25" t="str">
        <f t="shared" ca="1" si="10"/>
        <v/>
      </c>
      <c r="AT34" s="25" t="str">
        <f t="shared" ca="1" si="10"/>
        <v/>
      </c>
      <c r="AU34" s="25" t="str">
        <f t="shared" ca="1" si="10"/>
        <v/>
      </c>
      <c r="AV34" s="25" t="str">
        <f t="shared" ca="1" si="10"/>
        <v/>
      </c>
      <c r="AW34" s="25" t="str">
        <f t="shared" ca="1" si="10"/>
        <v/>
      </c>
      <c r="AX34" s="25" t="str">
        <f t="shared" ca="1" si="10"/>
        <v/>
      </c>
      <c r="AY34" s="25" t="str">
        <f t="shared" ca="1" si="10"/>
        <v/>
      </c>
      <c r="AZ34" s="25" t="str">
        <f t="shared" ca="1" si="10"/>
        <v/>
      </c>
      <c r="BA34" s="25" t="str">
        <f t="shared" ca="1" si="10"/>
        <v/>
      </c>
      <c r="BB34" s="25" t="str">
        <f t="shared" ca="1" si="10"/>
        <v/>
      </c>
      <c r="BC34" s="25" t="str">
        <f t="shared" ca="1" si="10"/>
        <v/>
      </c>
      <c r="BD34" s="25" t="str">
        <f t="shared" ca="1" si="11"/>
        <v/>
      </c>
      <c r="BE34" s="25" t="str">
        <f t="shared" ca="1" si="11"/>
        <v/>
      </c>
      <c r="BF34" s="25" t="str">
        <f t="shared" ca="1" si="11"/>
        <v/>
      </c>
      <c r="BG34" s="25" t="str">
        <f t="shared" ca="1" si="11"/>
        <v/>
      </c>
      <c r="BH34" s="25" t="str">
        <f t="shared" ca="1" si="11"/>
        <v/>
      </c>
      <c r="BI34" s="25" t="str">
        <f t="shared" ca="1" si="11"/>
        <v/>
      </c>
      <c r="BJ34" s="25" t="str">
        <f t="shared" ca="1" si="11"/>
        <v/>
      </c>
      <c r="BK34" s="25" t="str">
        <f t="shared" ca="1" si="11"/>
        <v/>
      </c>
      <c r="BL34" s="25" t="str">
        <f t="shared" ca="1" si="11"/>
        <v/>
      </c>
    </row>
    <row r="35" spans="1:65" s="1" customFormat="1" ht="40.15" customHeight="1">
      <c r="A35" s="9"/>
      <c r="B35" s="61"/>
      <c r="C35" s="57"/>
      <c r="D35" s="57"/>
      <c r="E35" s="58"/>
      <c r="F35" s="59"/>
      <c r="G35" s="60"/>
      <c r="H35" s="57"/>
      <c r="I35" s="25" t="str">
        <f t="shared" ca="1" si="13"/>
        <v/>
      </c>
      <c r="J35" s="25" t="str">
        <f t="shared" ca="1" si="13"/>
        <v/>
      </c>
      <c r="K35" s="25" t="str">
        <f t="shared" ca="1" si="13"/>
        <v/>
      </c>
      <c r="L35" s="25" t="str">
        <f t="shared" ca="1" si="13"/>
        <v/>
      </c>
      <c r="M35" s="25" t="str">
        <f t="shared" ca="1" si="13"/>
        <v/>
      </c>
      <c r="N35" s="25" t="str">
        <f t="shared" ca="1" si="13"/>
        <v/>
      </c>
      <c r="O35" s="25" t="str">
        <f t="shared" ca="1" si="13"/>
        <v/>
      </c>
      <c r="P35" s="25" t="str">
        <f t="shared" ca="1" si="13"/>
        <v/>
      </c>
      <c r="Q35" s="25" t="str">
        <f t="shared" ca="1" si="13"/>
        <v/>
      </c>
      <c r="R35" s="25" t="str">
        <f t="shared" ca="1" si="13"/>
        <v/>
      </c>
      <c r="S35" s="25" t="str">
        <f t="shared" ca="1" si="13"/>
        <v/>
      </c>
      <c r="T35" s="25" t="str">
        <f t="shared" ca="1" si="13"/>
        <v/>
      </c>
      <c r="U35" s="25" t="str">
        <f t="shared" ca="1" si="13"/>
        <v/>
      </c>
      <c r="V35" s="25" t="str">
        <f t="shared" ca="1" si="13"/>
        <v/>
      </c>
      <c r="W35" s="25" t="str">
        <f t="shared" ca="1" si="13"/>
        <v/>
      </c>
      <c r="X35" s="25" t="str">
        <f t="shared" ca="1" si="13"/>
        <v/>
      </c>
      <c r="Y35" s="25" t="str">
        <f t="shared" ca="1" si="12"/>
        <v/>
      </c>
      <c r="Z35" s="25" t="str">
        <f t="shared" ca="1" si="12"/>
        <v/>
      </c>
      <c r="AA35" s="25" t="str">
        <f t="shared" ca="1" si="12"/>
        <v/>
      </c>
      <c r="AB35" s="25" t="str">
        <f t="shared" ca="1" si="12"/>
        <v/>
      </c>
      <c r="AC35" s="25" t="str">
        <f t="shared" ca="1" si="12"/>
        <v/>
      </c>
      <c r="AD35" s="25" t="str">
        <f t="shared" ca="1" si="12"/>
        <v/>
      </c>
      <c r="AE35" s="25" t="str">
        <f t="shared" ca="1" si="12"/>
        <v/>
      </c>
      <c r="AF35" s="25" t="str">
        <f t="shared" ca="1" si="12"/>
        <v/>
      </c>
      <c r="AG35" s="25" t="str">
        <f t="shared" ca="1" si="12"/>
        <v/>
      </c>
      <c r="AH35" s="25" t="str">
        <f t="shared" ca="1" si="12"/>
        <v/>
      </c>
      <c r="AI35" s="25" t="str">
        <f t="shared" ca="1" si="12"/>
        <v/>
      </c>
      <c r="AJ35" s="25" t="str">
        <f t="shared" ca="1" si="12"/>
        <v/>
      </c>
      <c r="AK35" s="25" t="str">
        <f t="shared" ca="1" si="12"/>
        <v/>
      </c>
      <c r="AL35" s="25" t="str">
        <f t="shared" ca="1" si="12"/>
        <v/>
      </c>
      <c r="AM35" s="25" t="str">
        <f t="shared" ca="1" si="12"/>
        <v/>
      </c>
      <c r="AN35" s="25" t="str">
        <f t="shared" ca="1" si="10"/>
        <v/>
      </c>
      <c r="AO35" s="25" t="str">
        <f t="shared" ca="1" si="10"/>
        <v/>
      </c>
      <c r="AP35" s="25" t="str">
        <f t="shared" ca="1" si="10"/>
        <v/>
      </c>
      <c r="AQ35" s="25" t="str">
        <f t="shared" ca="1" si="10"/>
        <v/>
      </c>
      <c r="AR35" s="25" t="str">
        <f t="shared" ca="1" si="10"/>
        <v/>
      </c>
      <c r="AS35" s="25" t="str">
        <f t="shared" ca="1" si="10"/>
        <v/>
      </c>
      <c r="AT35" s="25" t="str">
        <f t="shared" ca="1" si="10"/>
        <v/>
      </c>
      <c r="AU35" s="25" t="str">
        <f t="shared" ca="1" si="10"/>
        <v/>
      </c>
      <c r="AV35" s="25" t="str">
        <f t="shared" ca="1" si="10"/>
        <v/>
      </c>
      <c r="AW35" s="25" t="str">
        <f t="shared" ca="1" si="10"/>
        <v/>
      </c>
      <c r="AX35" s="25" t="str">
        <f t="shared" ca="1" si="10"/>
        <v/>
      </c>
      <c r="AY35" s="25" t="str">
        <f t="shared" ca="1" si="10"/>
        <v/>
      </c>
      <c r="AZ35" s="25" t="str">
        <f t="shared" ca="1" si="10"/>
        <v/>
      </c>
      <c r="BA35" s="25" t="str">
        <f t="shared" ca="1" si="10"/>
        <v/>
      </c>
      <c r="BB35" s="25" t="str">
        <f t="shared" ca="1" si="10"/>
        <v/>
      </c>
      <c r="BC35" s="25" t="str">
        <f t="shared" ca="1" si="10"/>
        <v/>
      </c>
      <c r="BD35" s="25" t="str">
        <f t="shared" ca="1" si="11"/>
        <v/>
      </c>
      <c r="BE35" s="25" t="str">
        <f t="shared" ca="1" si="11"/>
        <v/>
      </c>
      <c r="BF35" s="25" t="str">
        <f t="shared" ca="1" si="11"/>
        <v/>
      </c>
      <c r="BG35" s="25" t="str">
        <f t="shared" ca="1" si="11"/>
        <v/>
      </c>
      <c r="BH35" s="25" t="str">
        <f t="shared" ca="1" si="11"/>
        <v/>
      </c>
      <c r="BI35" s="25" t="str">
        <f t="shared" ca="1" si="11"/>
        <v/>
      </c>
      <c r="BJ35" s="25" t="str">
        <f t="shared" ca="1" si="11"/>
        <v/>
      </c>
      <c r="BK35" s="25" t="str">
        <f t="shared" ca="1" si="11"/>
        <v/>
      </c>
      <c r="BL35" s="25" t="str">
        <f t="shared" ca="1" si="11"/>
        <v/>
      </c>
      <c r="BM35" s="86"/>
    </row>
    <row r="36" spans="1:65" s="1" customFormat="1" ht="40.15" customHeight="1">
      <c r="A36" s="10"/>
      <c r="B36" s="115" t="s">
        <v>18</v>
      </c>
      <c r="C36" s="57"/>
      <c r="D36" s="57"/>
      <c r="E36" s="72"/>
      <c r="F36" s="82"/>
      <c r="G36" s="83"/>
      <c r="H36" s="57"/>
      <c r="I36" s="84"/>
      <c r="J36" s="84"/>
      <c r="K36" s="84"/>
      <c r="L36" s="84"/>
      <c r="M36" s="84"/>
      <c r="N36" s="84"/>
      <c r="O36" s="84"/>
      <c r="P36" s="84"/>
      <c r="Q36" s="84"/>
      <c r="R36" s="84"/>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84"/>
      <c r="BH36" s="84"/>
      <c r="BI36" s="84"/>
      <c r="BJ36" s="84"/>
      <c r="BK36" s="84"/>
      <c r="BL36" s="84"/>
    </row>
    <row r="37" spans="1:65" ht="30" customHeight="1">
      <c r="D37" s="4"/>
      <c r="G37" s="11"/>
      <c r="H37" s="3"/>
    </row>
    <row r="38" spans="1:65" ht="30" customHeight="1">
      <c r="D38" s="5"/>
    </row>
  </sheetData>
  <mergeCells count="8">
    <mergeCell ref="AJ4:AP4"/>
    <mergeCell ref="B2:H2"/>
    <mergeCell ref="I2:N2"/>
    <mergeCell ref="O2:T2"/>
    <mergeCell ref="I4:N4"/>
    <mergeCell ref="P4:U4"/>
    <mergeCell ref="W4:AB4"/>
    <mergeCell ref="AD4:AH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8" priority="4">
      <formula>I$7&lt;=EOMONTH($I$7,0)</formula>
    </cfRule>
  </conditionalFormatting>
  <conditionalFormatting sqref="I6:BL6">
    <cfRule type="expression" dxfId="7" priority="2">
      <formula>AND(I$7&lt;=EOMONTH($I$7,1),I$7&gt;EOMONTH($I$7,0))</formula>
    </cfRule>
  </conditionalFormatting>
  <conditionalFormatting sqref="I7:BL36">
    <cfRule type="expression" dxfId="6" priority="1">
      <formula>AND(TODAY()&gt;=I$7,TODAY()&lt;J$7)</formula>
    </cfRule>
  </conditionalFormatting>
  <conditionalFormatting sqref="I10:BL35">
    <cfRule type="expression" dxfId="5" priority="7" stopIfTrue="1">
      <formula>AND($C10="Geringes Risiko",I$7&gt;=$F10,I$7&lt;=$F10+$G10-1)</formula>
    </cfRule>
    <cfRule type="expression" dxfId="4" priority="8" stopIfTrue="1">
      <formula>AND($C10="Hohes Risiko",I$7&gt;=$F10,I$7&lt;=$F10+$G10-1)</formula>
    </cfRule>
    <cfRule type="expression" dxfId="3" priority="9" stopIfTrue="1">
      <formula>AND($C10="Im Plan",I$7&gt;=$F10,I$7&lt;=$F10+$G10-1)</formula>
    </cfRule>
    <cfRule type="expression" dxfId="2" priority="10" stopIfTrue="1">
      <formula>AND($C10="Mittleres Risiko",I$7&gt;=$F10,I$7&lt;=$F10+$G10-1)</formula>
    </cfRule>
    <cfRule type="expression" dxfId="1" priority="11" stopIfTrue="1">
      <formula>AND(LEN($C10)=0,I$7&gt;=$F10,I$7&lt;=$F10+$G10-1)</formula>
    </cfRule>
  </conditionalFormatting>
  <conditionalFormatting sqref="J6:BL6">
    <cfRule type="expression" dxfId="0" priority="3">
      <formula>AND(J$7&lt;=EOMONTH($I$7,2),J$7&gt;EOMONTH($I$7,0),J$7&gt;EOMONTH($I$7,1))</formula>
    </cfRule>
  </conditionalFormatting>
  <dataValidations count="10">
    <dataValidation type="list" allowBlank="1" showInputMessage="1" sqref="C11" xr:uid="{2A71DF35-3E17-4EA3-9F65-3869ED6D651B}">
      <formula1>"Ziel,Meilenstein,Im Plan, Geringes Risiko, Mittleres Risiko, Hohes Risiko"</formula1>
    </dataValidation>
    <dataValidation type="list" allowBlank="1" showInputMessage="1" showErrorMessage="1" sqref="C10 C12:C35" xr:uid="{A8CFFA66-BA13-4963-ABE3-DD76F5716C76}">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6087FA1-35BE-457A-912C-7FF26BCE687A}">
      <formula1>0</formula1>
    </dataValidation>
    <dataValidation allowBlank="1" showInputMessage="1" showErrorMessage="1" prompt="Dies ist eine leere Zeile." sqref="A35" xr:uid="{008E5CA1-A949-4186-A5FB-74F6E9478170}"/>
    <dataValidation allowBlank="1" showInputMessage="1" showErrorMessage="1" prompt="Diese Zeile markiert das Ende der Gantt-Meilensteindaten. Geben Sie nichts in diese Zeile ein. _x000a_Um weitere Elemente hinzuzufügen, fügen Sie neue Zeilen darüber ein._x000a_" sqref="A36" xr:uid="{CEB624D0-0F11-44F9-B89D-CE4F5F747510}"/>
    <dataValidation allowBlank="1" showInputMessage="1" showErrorMessage="1" sqref="A11 A6" xr:uid="{6BCA7D1C-2B33-4267-B02B-4DBA8944EFBD}"/>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74A0C51E-7215-45D6-BD24-C245B7BE27E3}"/>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4842210D-BF55-4A86-A4C6-842F795F4B74}"/>
    <dataValidation allowBlank="1" showInputMessage="1" showErrorMessage="1" prompt="Geben Sie den Firmennamen in Zelle B4._x000a_Eine Legende befindet sich in den Zellen I4 bis AC4. Das Legendenetikett befindet sich in Zelle G4." sqref="A4" xr:uid="{80AAC854-89E1-4DDF-A7BB-5345D03244F7}"/>
    <dataValidation allowBlank="1" showInputMessage="1" showErrorMessage="1" promptTitle="Erstellen eines Gantt-Diagramms " sqref="A2" xr:uid="{CFF7D6BF-E50E-4A95-ACAE-5DE35B344326}"/>
  </dataValidations>
  <printOptions horizontalCentered="1"/>
  <pageMargins left="0.25" right="0.25" top="0.5" bottom="0.5" header="0.3" footer="0.3"/>
  <pageSetup paperSize="9" scale="41" fitToHeight="0" orientation="landscape" r:id="rId1"/>
  <headerFooter differentFirst="1" scaleWithDoc="0">
    <oddFooter>Page &amp;P of &amp;N</oddFooter>
  </headerFooter>
  <ignoredErrors>
    <ignoredError sqref="F20" formula="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5" ma:contentTypeDescription="Create a new document." ma:contentTypeScope="" ma:versionID="e02306daf00165b375dc6a58966960be">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df88fb76bf5f555224557953949c1ec9"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19B9A7-BD90-4E8F-A951-10D5C69324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AF2F40C-D12E-4644-AA6E-31E499F048DC}">
  <ds:schemaRefs>
    <ds:schemaRef ds:uri="http://schemas.microsoft.com/sharepoint/v3/contenttype/forms"/>
  </ds:schemaRefs>
</ds:datastoreItem>
</file>

<file path=customXml/itemProps3.xml><?xml version="1.0" encoding="utf-8"?>
<ds:datastoreItem xmlns:ds="http://schemas.openxmlformats.org/officeDocument/2006/customXml" ds:itemID="{6CD6AD73-D703-40CF-AB8D-72E6A3921BE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9</vt:i4>
      </vt:variant>
    </vt:vector>
  </HeadingPairs>
  <TitlesOfParts>
    <vt:vector size="13" baseType="lpstr">
      <vt:lpstr>Info</vt:lpstr>
      <vt:lpstr>Hell</vt:lpstr>
      <vt:lpstr>Dunkel</vt:lpstr>
      <vt:lpstr>Farbe</vt:lpstr>
      <vt:lpstr>Dunkel!Drucktitel</vt:lpstr>
      <vt:lpstr>Farbe!Drucktitel</vt:lpstr>
      <vt:lpstr>Hell!Drucktitel</vt:lpstr>
      <vt:lpstr>Dunkel!Projekt_Start</vt:lpstr>
      <vt:lpstr>Farbe!Projekt_Start</vt:lpstr>
      <vt:lpstr>Hell!Projekt_Start</vt:lpstr>
      <vt:lpstr>Dunkel!Scrollschrittweite</vt:lpstr>
      <vt:lpstr>Farbe!Scrollschrittweite</vt:lpstr>
      <vt:lpstr>Hell!Scrollschrittweite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2022-10-24T06:07:12Z</dcterms:created>
  <dcterms:modified xsi:type="dcterms:W3CDTF">2026-02-17T07:41:27Z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